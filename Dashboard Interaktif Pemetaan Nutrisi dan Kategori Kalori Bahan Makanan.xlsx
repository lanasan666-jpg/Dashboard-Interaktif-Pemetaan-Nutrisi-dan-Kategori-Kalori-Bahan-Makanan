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wnloads\PROJECT NIHHHH\"/>
    </mc:Choice>
  </mc:AlternateContent>
  <xr:revisionPtr revIDLastSave="0" documentId="13_ncr:1_{C8E8CDB6-8053-4EBA-8AB2-3F93894B96AF}" xr6:coauthVersionLast="47" xr6:coauthVersionMax="47" xr10:uidLastSave="{00000000-0000-0000-0000-000000000000}"/>
  <bookViews>
    <workbookView xWindow="-108" yWindow="-108" windowWidth="23256" windowHeight="12456" activeTab="1" xr2:uid="{5458C861-1FE8-46A0-9CE5-F0CF70A49C62}"/>
  </bookViews>
  <sheets>
    <sheet name="nutrition" sheetId="2" r:id="rId1"/>
    <sheet name="Dashboard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E8" i="1"/>
  <c r="C7" i="1"/>
  <c r="C6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C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1D5A4-7F9B-47C3-8812-DE12C20A76E4}" keepAlive="1" name="Query - nutrition" description="Connection to the 'nutrition' query in the workbook." type="5" refreshedVersion="8" background="1" saveData="1">
    <dbPr connection="Provider=Microsoft.Mashup.OleDb.1;Data Source=$Workbook$;Location=nutrition;Extended Properties=&quot;&quot;" command="SELECT * FROM [nutrition]"/>
  </connection>
</connections>
</file>

<file path=xl/sharedStrings.xml><?xml version="1.0" encoding="utf-8"?>
<sst xmlns="http://schemas.openxmlformats.org/spreadsheetml/2006/main" count="1487" uniqueCount="1368">
  <si>
    <t>id</t>
  </si>
  <si>
    <t>calories</t>
  </si>
  <si>
    <t>proteins</t>
  </si>
  <si>
    <t>fat</t>
  </si>
  <si>
    <t>carbohydrate</t>
  </si>
  <si>
    <t>name</t>
  </si>
  <si>
    <t>Abon</t>
  </si>
  <si>
    <t>Abon haruwan</t>
  </si>
  <si>
    <t>Agar-agar</t>
  </si>
  <si>
    <t>Akar tonjong segar</t>
  </si>
  <si>
    <t>Aletoge segar</t>
  </si>
  <si>
    <t>Alpukat segar</t>
  </si>
  <si>
    <t>Ampas kacang hijau</t>
  </si>
  <si>
    <t>Ampas Tahu</t>
  </si>
  <si>
    <t>Ampas tahu kukus</t>
  </si>
  <si>
    <t>Ampas tahu mentah</t>
  </si>
  <si>
    <t>Anak sapi daging gemuk segar</t>
  </si>
  <si>
    <t>Anak sapi daging kurus segar</t>
  </si>
  <si>
    <t>Anak sapi daging sedang segar</t>
  </si>
  <si>
    <t>Andaliman segar</t>
  </si>
  <si>
    <t>Andewi</t>
  </si>
  <si>
    <t>Anggur hutan segar</t>
  </si>
  <si>
    <t>Angsa</t>
  </si>
  <si>
    <t>Anyang sayur</t>
  </si>
  <si>
    <t>Apel</t>
  </si>
  <si>
    <t>Apel malang segar</t>
  </si>
  <si>
    <t>Arbei</t>
  </si>
  <si>
    <t>Ares sayur</t>
  </si>
  <si>
    <t>Arrowroot segar</t>
  </si>
  <si>
    <t>Arwan sirsir</t>
  </si>
  <si>
    <t>Asam kandis segar</t>
  </si>
  <si>
    <t>Asam masak di pohon</t>
  </si>
  <si>
    <t>Asam payak segar</t>
  </si>
  <si>
    <t>Asan kandis kering</t>
  </si>
  <si>
    <t>Asinan Bogor sayuran</t>
  </si>
  <si>
    <t>Ayam</t>
  </si>
  <si>
    <t>Ayam  goreng Kentuckysayap</t>
  </si>
  <si>
    <t>Ayam ampela goreng</t>
  </si>
  <si>
    <t>Ayam dideh/darah segar</t>
  </si>
  <si>
    <t>Ayam goreng church texa sayap</t>
  </si>
  <si>
    <t>Ayam goreng church texas dada</t>
  </si>
  <si>
    <t>Ayam goreng kalasan paha</t>
  </si>
  <si>
    <t>Ayam goreng kentucky dada</t>
  </si>
  <si>
    <t>Ayam goreng Kentucky paha</t>
  </si>
  <si>
    <t>Ayam goreng mbok berek dada</t>
  </si>
  <si>
    <t>Ayam goreng paha</t>
  </si>
  <si>
    <t>Ayam goreng pasundan dada</t>
  </si>
  <si>
    <t>Ayam goreng pasundan paha</t>
  </si>
  <si>
    <t>Ayam goreng pioneer dada</t>
  </si>
  <si>
    <t>Ayam goreng sukabumi dada</t>
  </si>
  <si>
    <t>Ayam goreng sukabumi paha</t>
  </si>
  <si>
    <t>Ayam hati segar</t>
  </si>
  <si>
    <t>Ayam taliwang masakan</t>
  </si>
  <si>
    <t>Ayam usus goreng</t>
  </si>
  <si>
    <t>Babat</t>
  </si>
  <si>
    <t>Babi daging gemuk segar</t>
  </si>
  <si>
    <t>Babi daging kurus segar</t>
  </si>
  <si>
    <t>Babi ginjal segar</t>
  </si>
  <si>
    <t>Babi hati segar</t>
  </si>
  <si>
    <t>Babi hutan masak rica masakan</t>
  </si>
  <si>
    <t>Bacang</t>
  </si>
  <si>
    <t>Bagea kelapa asin</t>
  </si>
  <si>
    <t>Bagea kelapa manis</t>
  </si>
  <si>
    <t>Bagea kenari asin</t>
  </si>
  <si>
    <t>Bagea kenari manis</t>
  </si>
  <si>
    <t>Bagea kw 1</t>
  </si>
  <si>
    <t>Bagea kw 2</t>
  </si>
  <si>
    <t>Baje</t>
  </si>
  <si>
    <t>Bakpia kue</t>
  </si>
  <si>
    <t xml:space="preserve">Bakso </t>
  </si>
  <si>
    <t>Bakung segar</t>
  </si>
  <si>
    <t>Bakwan</t>
  </si>
  <si>
    <t>Baligo</t>
  </si>
  <si>
    <t>Bantal</t>
  </si>
  <si>
    <t>Barongko</t>
  </si>
  <si>
    <t>Batang Tading</t>
  </si>
  <si>
    <t>Batar daan</t>
  </si>
  <si>
    <t>Batatas gembili segar</t>
  </si>
  <si>
    <t>Batatas kelapa ubi bakar</t>
  </si>
  <si>
    <t>Batatas kelapa ubi kukus</t>
  </si>
  <si>
    <t>Batatas kelapa ubi segar</t>
  </si>
  <si>
    <t>Batatas tali ubi rebus</t>
  </si>
  <si>
    <t>Bawang Bombay</t>
  </si>
  <si>
    <t>Bawang Merah</t>
  </si>
  <si>
    <t>Bawang Putih</t>
  </si>
  <si>
    <t>Bayam kukus</t>
  </si>
  <si>
    <t>Bayam Merah</t>
  </si>
  <si>
    <t>Bayam merah segar</t>
  </si>
  <si>
    <t>Bayam rebus</t>
  </si>
  <si>
    <t>Bayam segar</t>
  </si>
  <si>
    <t>Bayam tumis + oncom</t>
  </si>
  <si>
    <t>Bayam tumis bersantan</t>
  </si>
  <si>
    <t>Bebek (itik)</t>
  </si>
  <si>
    <t>Bebek alabio daging segar</t>
  </si>
  <si>
    <t>Bebek daging goreng</t>
  </si>
  <si>
    <t>Beberuk</t>
  </si>
  <si>
    <t>Beef burger</t>
  </si>
  <si>
    <t>Beef teriyaki masakan</t>
  </si>
  <si>
    <t>Beef yakiniku masakan</t>
  </si>
  <si>
    <t>Bekasam</t>
  </si>
  <si>
    <t>Bekasang</t>
  </si>
  <si>
    <t>Belibis daging segar</t>
  </si>
  <si>
    <t>Belimbing</t>
  </si>
  <si>
    <t>Belitung talas kukus</t>
  </si>
  <si>
    <t>Belut goreng</t>
  </si>
  <si>
    <t>Belut segar</t>
  </si>
  <si>
    <t>Belutlaut segar</t>
  </si>
  <si>
    <t>Bengkuang</t>
  </si>
  <si>
    <t>Bentul (Komba)  talas segar</t>
  </si>
  <si>
    <t>Bentul talas kukus</t>
  </si>
  <si>
    <t>Beras Cerdas</t>
  </si>
  <si>
    <t>Beras ganyong</t>
  </si>
  <si>
    <t>Beras Giling</t>
  </si>
  <si>
    <t xml:space="preserve">Beras Giling masak (nasi) </t>
  </si>
  <si>
    <t>Beras giling mentah</t>
  </si>
  <si>
    <t>Beras giling var pelita mentah</t>
  </si>
  <si>
    <t>Beras giling var rojolele mentah</t>
  </si>
  <si>
    <t>Beras hitam mentah</t>
  </si>
  <si>
    <t>Beras jagung kuning kering mentah</t>
  </si>
  <si>
    <t>Beras jagung putih kering mentah</t>
  </si>
  <si>
    <t>Beras Ketan Hitam</t>
  </si>
  <si>
    <t>Beras Ketan Hitam kukus</t>
  </si>
  <si>
    <t>Beras Ketan Hitam tape</t>
  </si>
  <si>
    <t>Beras Ketan Hitam tumbuk</t>
  </si>
  <si>
    <t>Beras ketan hitam tumbuk mentah</t>
  </si>
  <si>
    <t>Beras Ketan Putih</t>
  </si>
  <si>
    <t>Beras Ketan Putih kukus</t>
  </si>
  <si>
    <t>Beras Ketan Putih tape</t>
  </si>
  <si>
    <t>Beras Ketan Putih tumbuk</t>
  </si>
  <si>
    <t>Beras ketan putih tumbuk mentah</t>
  </si>
  <si>
    <t>Beras ladang mentah</t>
  </si>
  <si>
    <t>Beras Menir</t>
  </si>
  <si>
    <t>Beras menir mentah</t>
  </si>
  <si>
    <t>Beras Merah tumbuk</t>
  </si>
  <si>
    <t>Beras Parboiled</t>
  </si>
  <si>
    <t>Beras parboiled</t>
  </si>
  <si>
    <t>Beras Pecah Kulit</t>
  </si>
  <si>
    <t>Beras Setengah Giling</t>
  </si>
  <si>
    <t>Beras Siger</t>
  </si>
  <si>
    <t>Beras tumbuk mentah</t>
  </si>
  <si>
    <t>Beras tumbuk merah mentah</t>
  </si>
  <si>
    <t>Betok wadi masakan</t>
  </si>
  <si>
    <t>Bihun</t>
  </si>
  <si>
    <t xml:space="preserve">Bihun Goreng </t>
  </si>
  <si>
    <t>Bihun goreng instan</t>
  </si>
  <si>
    <t>Bihun Jagung mentah</t>
  </si>
  <si>
    <t>Bihun mentah</t>
  </si>
  <si>
    <t>Biji Jambu Mete</t>
  </si>
  <si>
    <t>Biji Jambu Mete goreng</t>
  </si>
  <si>
    <t>Biji nangka/Biji salak</t>
  </si>
  <si>
    <t>Bika ambon</t>
  </si>
  <si>
    <t xml:space="preserve">Bika Ambon </t>
  </si>
  <si>
    <t>Bir (4% alkohol)</t>
  </si>
  <si>
    <t>Biskuit</t>
  </si>
  <si>
    <t>Bit</t>
  </si>
  <si>
    <t>Biwah segar</t>
  </si>
  <si>
    <t>Bonggol Pisang</t>
  </si>
  <si>
    <t>Bonggol Pisang kering</t>
  </si>
  <si>
    <t>Bongkrek (tempe bungkil)</t>
  </si>
  <si>
    <t>Boros Kunci</t>
  </si>
  <si>
    <t>Boros Laja (lengkuas)</t>
  </si>
  <si>
    <t>Botok lamtoro</t>
  </si>
  <si>
    <t>Brem</t>
  </si>
  <si>
    <t xml:space="preserve">Brondong </t>
  </si>
  <si>
    <t>Brongkos</t>
  </si>
  <si>
    <t>Buah Atung</t>
  </si>
  <si>
    <t>Buah kelenting segar</t>
  </si>
  <si>
    <t>Buah kelor</t>
  </si>
  <si>
    <t>Buah kom segar</t>
  </si>
  <si>
    <t>Buah Mentega (bisbul)</t>
  </si>
  <si>
    <t>Buah merah</t>
  </si>
  <si>
    <t>Buah Naga Merah segar</t>
  </si>
  <si>
    <t>Buah Naga Putih segar</t>
  </si>
  <si>
    <t>Buah negri segar</t>
  </si>
  <si>
    <t>Buah Nona</t>
  </si>
  <si>
    <t>Buah rotan segar</t>
  </si>
  <si>
    <t>Buah rukam segar</t>
  </si>
  <si>
    <t>Buah ruruhi segar</t>
  </si>
  <si>
    <t>Buah tuppa segar</t>
  </si>
  <si>
    <t>Buaya daging dendeng mentah</t>
  </si>
  <si>
    <t xml:space="preserve">Bubur </t>
  </si>
  <si>
    <t>Bubur sagu</t>
  </si>
  <si>
    <t>Bubur tinotuan (Manado)</t>
  </si>
  <si>
    <t>Bulgogi masakan</t>
  </si>
  <si>
    <t>Bulung Jajan</t>
  </si>
  <si>
    <t>Bulung Sangu</t>
  </si>
  <si>
    <t>Buncis</t>
  </si>
  <si>
    <t>Buncis asam</t>
  </si>
  <si>
    <t>Buncis rebus</t>
  </si>
  <si>
    <t>Bunga pepaya segar</t>
  </si>
  <si>
    <t>Bunga turi segar</t>
  </si>
  <si>
    <t>Bungkil Biji Karet</t>
  </si>
  <si>
    <t>Bungkil Kacang Tanah</t>
  </si>
  <si>
    <t>Bungkil Kelapa</t>
  </si>
  <si>
    <t xml:space="preserve">Buntil </t>
  </si>
  <si>
    <t>Buntil daun talas</t>
  </si>
  <si>
    <t xml:space="preserve">Buras </t>
  </si>
  <si>
    <t>Burung sarang segar</t>
  </si>
  <si>
    <t>Cabai gembor merah segar</t>
  </si>
  <si>
    <t>Cabai hijau segar</t>
  </si>
  <si>
    <t>Cabai merah kering</t>
  </si>
  <si>
    <t>Cabai merah segar</t>
  </si>
  <si>
    <t>Cabai rawit segar</t>
  </si>
  <si>
    <t>Caisin segar</t>
  </si>
  <si>
    <t>Cakalang asar (asap papua)</t>
  </si>
  <si>
    <t>Cake tape</t>
  </si>
  <si>
    <t>Cammetutu</t>
  </si>
  <si>
    <t>Cantel mentah</t>
  </si>
  <si>
    <t>Cap cai sayur</t>
  </si>
  <si>
    <t>Carica papaya segar</t>
  </si>
  <si>
    <t>Cassavastick</t>
  </si>
  <si>
    <t>Cempedak</t>
  </si>
  <si>
    <t>Cengkeh kering</t>
  </si>
  <si>
    <t>Centel</t>
  </si>
  <si>
    <t>Ceriping getuk singkong</t>
  </si>
  <si>
    <t>Chicken teriyaki masakan</t>
  </si>
  <si>
    <t>Chikiniku masakan</t>
  </si>
  <si>
    <t>Coklat bubuk</t>
  </si>
  <si>
    <t>Coklat Manis batang</t>
  </si>
  <si>
    <t>Coklat Pahit batang</t>
  </si>
  <si>
    <t>Coklat Susu batang</t>
  </si>
  <si>
    <t xml:space="preserve">Combro </t>
  </si>
  <si>
    <t>Corned Beef</t>
  </si>
  <si>
    <t>Coto mangkasara kuda masakan</t>
  </si>
  <si>
    <t>Coto mangkasara sapi masakan</t>
  </si>
  <si>
    <t>Cue Selar Kuning</t>
  </si>
  <si>
    <t>Cuka</t>
  </si>
  <si>
    <t>Cumi-cumi goreng</t>
  </si>
  <si>
    <t>Cumi-cumi segar</t>
  </si>
  <si>
    <t>Daging Anak Sapi</t>
  </si>
  <si>
    <t>Daging Asap</t>
  </si>
  <si>
    <t>Daging Babi Gemuk</t>
  </si>
  <si>
    <t>Daging Babi Kurus</t>
  </si>
  <si>
    <t>Daging Domba</t>
  </si>
  <si>
    <t>Daging Kambing</t>
  </si>
  <si>
    <t>Daging Kerbau</t>
  </si>
  <si>
    <t>Daging Kuda</t>
  </si>
  <si>
    <t>Daging Sapi</t>
  </si>
  <si>
    <t>Daun bangun-bangun segar</t>
  </si>
  <si>
    <t>Daun Bawang</t>
  </si>
  <si>
    <t>Daun bawang  merah segar</t>
  </si>
  <si>
    <t>Daun bebuas segar</t>
  </si>
  <si>
    <t>Daun belem segar</t>
  </si>
  <si>
    <t>Daun Beluntas</t>
  </si>
  <si>
    <t>Daun Cincau</t>
  </si>
  <si>
    <t>Daun Gandaria</t>
  </si>
  <si>
    <t>Daun gedi besar segar</t>
  </si>
  <si>
    <t>Daun gelang segar</t>
  </si>
  <si>
    <t>Daun gunda bali segar</t>
  </si>
  <si>
    <t>Daun gunda serang segar</t>
  </si>
  <si>
    <t>Daun Jambu Mete muda</t>
  </si>
  <si>
    <t>Daun jampang segar</t>
  </si>
  <si>
    <t>Daun jawaw seluang segar</t>
  </si>
  <si>
    <t>Daun jonghe segar</t>
  </si>
  <si>
    <t>Daun kacang ma segar</t>
  </si>
  <si>
    <t>Daun Kacang Panjang</t>
  </si>
  <si>
    <t>Daun Kacang Panjang kukus</t>
  </si>
  <si>
    <t>Daun kacang panjang segar</t>
  </si>
  <si>
    <t>Daun kasbi/singkong karet segar</t>
  </si>
  <si>
    <t>Daun Katuk</t>
  </si>
  <si>
    <t>Daun katuk rebus</t>
  </si>
  <si>
    <t>Daun katuk segar</t>
  </si>
  <si>
    <t>Daun Kecipir</t>
  </si>
  <si>
    <t>Daun Kedondong</t>
  </si>
  <si>
    <t>Daun Kelor</t>
  </si>
  <si>
    <t>Daun Kelor rebus</t>
  </si>
  <si>
    <t>Daun Kemangi</t>
  </si>
  <si>
    <t>Daun kenikir segar</t>
  </si>
  <si>
    <t>Daun kesum segar</t>
  </si>
  <si>
    <t>Daun kol sawi segar</t>
  </si>
  <si>
    <t>Daun Koro</t>
  </si>
  <si>
    <t>Daun kubis segar</t>
  </si>
  <si>
    <t>Daun Kumak</t>
  </si>
  <si>
    <t>Daun Labu Siam</t>
  </si>
  <si>
    <t>Daun Labu Waluh</t>
  </si>
  <si>
    <t>Daun lamtoro segar</t>
  </si>
  <si>
    <t>Daun leilem segar</t>
  </si>
  <si>
    <t>Daun Leunca</t>
  </si>
  <si>
    <t>Daun Lobak</t>
  </si>
  <si>
    <t>Daun Lompong Tales</t>
  </si>
  <si>
    <t>Daun Mangkokan</t>
  </si>
  <si>
    <t>Daun matel ambon segar</t>
  </si>
  <si>
    <t>Daun Melinjo</t>
  </si>
  <si>
    <t>Daun Mengkudu Kukus</t>
  </si>
  <si>
    <t>Daun ndusuk segar</t>
  </si>
  <si>
    <t>Daun Oyong</t>
  </si>
  <si>
    <t>Daun oyong segar</t>
  </si>
  <si>
    <t>Daun Pakis</t>
  </si>
  <si>
    <t>Daun pakis longgiho segar</t>
  </si>
  <si>
    <t>Daun pakis segar</t>
  </si>
  <si>
    <t>Daun pakis wambateu segar</t>
  </si>
  <si>
    <t>Daun paku segar</t>
  </si>
  <si>
    <t>Daun pangisegar</t>
  </si>
  <si>
    <t>Daun pare segar</t>
  </si>
  <si>
    <t>Daun pepaya segar</t>
  </si>
  <si>
    <t>Daun Pete Cina</t>
  </si>
  <si>
    <t>Daun Poh-pohan</t>
  </si>
  <si>
    <t>Daun salam  bubuk</t>
  </si>
  <si>
    <t>Daun selasih segar</t>
  </si>
  <si>
    <t>Daun Semanggi</t>
  </si>
  <si>
    <t>Daun semanggi segar</t>
  </si>
  <si>
    <t>Daun simpur segar</t>
  </si>
  <si>
    <t>Daun singkil segar</t>
  </si>
  <si>
    <t>Daun Singkong</t>
  </si>
  <si>
    <t>Daun singkong ambon segar</t>
  </si>
  <si>
    <t>Daun singkong ampenan segar</t>
  </si>
  <si>
    <t>Daun singkong kopang segar</t>
  </si>
  <si>
    <t>Daun Singkong lodeh</t>
  </si>
  <si>
    <t>Daun Singkong rebus</t>
  </si>
  <si>
    <t>Daun singkong segar</t>
  </si>
  <si>
    <t>Daun Sintrong</t>
  </si>
  <si>
    <t>Daun talas rebus</t>
  </si>
  <si>
    <t>Daun talas segar</t>
  </si>
  <si>
    <t>Daun Tales</t>
  </si>
  <si>
    <t>Daun Tales rebus</t>
  </si>
  <si>
    <t>Daun tespong segar</t>
  </si>
  <si>
    <t>Daun Ubi Jalar</t>
  </si>
  <si>
    <t>Daun Ubi Jalar kukus</t>
  </si>
  <si>
    <t>Daun ubi kuning segar</t>
  </si>
  <si>
    <t>Daun ubi merah kukus</t>
  </si>
  <si>
    <t>Daun ubi merah segar</t>
  </si>
  <si>
    <t>Daun ubi putih segar</t>
  </si>
  <si>
    <t>Daun ubi tinta segar</t>
  </si>
  <si>
    <t xml:space="preserve">Deblo </t>
  </si>
  <si>
    <t>Dendeng belut goreng</t>
  </si>
  <si>
    <t>Dendeng Daging Sapi</t>
  </si>
  <si>
    <t>Dendeng mujahir goreng</t>
  </si>
  <si>
    <t>Dideh darah ayam</t>
  </si>
  <si>
    <t>Dideh darah sapi</t>
  </si>
  <si>
    <t>Djibokum masakan</t>
  </si>
  <si>
    <t>Dodol</t>
  </si>
  <si>
    <t>Dodol bali</t>
  </si>
  <si>
    <t>Dodol banjarmasin</t>
  </si>
  <si>
    <t>Dodol galamai</t>
  </si>
  <si>
    <t>Dodol kedondong</t>
  </si>
  <si>
    <t>Dodol manado</t>
  </si>
  <si>
    <t xml:space="preserve">Dodonkol </t>
  </si>
  <si>
    <t>Domba daging gemuk segar</t>
  </si>
  <si>
    <t>Domba daging kurus  segar</t>
  </si>
  <si>
    <t>Domba ginjal segar</t>
  </si>
  <si>
    <t>Duku</t>
  </si>
  <si>
    <t>Durian</t>
  </si>
  <si>
    <t>Duwet segar</t>
  </si>
  <si>
    <t>Eceng Gondok</t>
  </si>
  <si>
    <t>Embacang</t>
  </si>
  <si>
    <t>Empal (daging) Goreng masakan</t>
  </si>
  <si>
    <t>Empal Goreng</t>
  </si>
  <si>
    <t>Emping (kerupuk melinjo)</t>
  </si>
  <si>
    <t>Emping beras</t>
  </si>
  <si>
    <t>Emping komak</t>
  </si>
  <si>
    <t>Encung asam segar</t>
  </si>
  <si>
    <t>Enting-enting gepuk hello kity</t>
  </si>
  <si>
    <t>Enting-enting gepuk kacang tanah</t>
  </si>
  <si>
    <t>Enting-enting wijen</t>
  </si>
  <si>
    <t>Erbis</t>
  </si>
  <si>
    <t>Es krim</t>
  </si>
  <si>
    <t xml:space="preserve">Es Krim (Coconut milk) </t>
  </si>
  <si>
    <t xml:space="preserve">Es Mambo </t>
  </si>
  <si>
    <t xml:space="preserve">Es Sirup </t>
  </si>
  <si>
    <t>Fillet o-fish</t>
  </si>
  <si>
    <t>Gadeng/Gadung kering</t>
  </si>
  <si>
    <t>Gado-gado</t>
  </si>
  <si>
    <t>Gadung kukus</t>
  </si>
  <si>
    <t>Gadung mentah</t>
  </si>
  <si>
    <t>Gadung ubi kukus</t>
  </si>
  <si>
    <t>Gadung ubi segar</t>
  </si>
  <si>
    <t>Gambas (Oyong)</t>
  </si>
  <si>
    <t>Gambas lodeh</t>
  </si>
  <si>
    <t>Gandaria</t>
  </si>
  <si>
    <t>Ganyong kukus</t>
  </si>
  <si>
    <t>Ganyong mentah</t>
  </si>
  <si>
    <t>Ganyong rebus</t>
  </si>
  <si>
    <t>Ganyong segar</t>
  </si>
  <si>
    <t>Gaplek</t>
  </si>
  <si>
    <t>Gatep segar</t>
  </si>
  <si>
    <t>Gatot</t>
  </si>
  <si>
    <t>Geblek</t>
  </si>
  <si>
    <t>Gelatine</t>
  </si>
  <si>
    <t>Gembili</t>
  </si>
  <si>
    <t>Gembili ubi segar</t>
  </si>
  <si>
    <t>Gemblong</t>
  </si>
  <si>
    <t>Gendar goreng</t>
  </si>
  <si>
    <t>Genjer segar</t>
  </si>
  <si>
    <t>Geplak</t>
  </si>
  <si>
    <t>Geplak jahe</t>
  </si>
  <si>
    <t>Gete kuah asam masakan</t>
  </si>
  <si>
    <t>Getuk goreng</t>
  </si>
  <si>
    <t xml:space="preserve">Getuk Lindri </t>
  </si>
  <si>
    <t>Getuk pisang</t>
  </si>
  <si>
    <t>Getuk singkong</t>
  </si>
  <si>
    <t>Ginjal Babi</t>
  </si>
  <si>
    <t>Ginjal Domba</t>
  </si>
  <si>
    <t>Ginjal Sapi</t>
  </si>
  <si>
    <t xml:space="preserve">Gudeg </t>
  </si>
  <si>
    <t>Gudeg sayur</t>
  </si>
  <si>
    <t>Gula Aren</t>
  </si>
  <si>
    <t>Gula Kelapa</t>
  </si>
  <si>
    <t>Gula Merah Tebu belum dimurnikan</t>
  </si>
  <si>
    <t>Gula putih</t>
  </si>
  <si>
    <t>Gulai asam keueung masakan</t>
  </si>
  <si>
    <t>Gulai ikan masakan</t>
  </si>
  <si>
    <t>Gulai ikan paya masakan</t>
  </si>
  <si>
    <t>Gulai kambing</t>
  </si>
  <si>
    <t>Gulai keumamah masakan</t>
  </si>
  <si>
    <t>Gulai pakis</t>
  </si>
  <si>
    <t>Gulai pliek</t>
  </si>
  <si>
    <t>Gulai tiram masakan</t>
  </si>
  <si>
    <t>Gurame asem manis masakan</t>
  </si>
  <si>
    <t>Gurandil</t>
  </si>
  <si>
    <t>Ham</t>
  </si>
  <si>
    <t>Hangop</t>
  </si>
  <si>
    <t>Hati Babi</t>
  </si>
  <si>
    <t>Hati Sapi</t>
  </si>
  <si>
    <t>Havermout</t>
  </si>
  <si>
    <t>Hofa/Ubi hutan segar</t>
  </si>
  <si>
    <t>Ikan asar merah masakan</t>
  </si>
  <si>
    <t>Ikan Asin bilis goreng</t>
  </si>
  <si>
    <t>Ikan Asin gabus goreng</t>
  </si>
  <si>
    <t>Ikan Asin japuh goreng</t>
  </si>
  <si>
    <t>Ikan Asin kering</t>
  </si>
  <si>
    <t>Ikan Asin pari goreng</t>
  </si>
  <si>
    <t>Ikan Asin pepetek goreng</t>
  </si>
  <si>
    <t>Ikan Asin sirinding goreng</t>
  </si>
  <si>
    <t>Ikan Asin teri goreng</t>
  </si>
  <si>
    <t>Ikan Bader (Tawes)</t>
  </si>
  <si>
    <t>Ikan balong segar</t>
  </si>
  <si>
    <t>Ikan bambangan segar</t>
  </si>
  <si>
    <t>Ikan Bandeng</t>
  </si>
  <si>
    <t>Ikan bandeng presto masakan</t>
  </si>
  <si>
    <t>Ikan banjar segar</t>
  </si>
  <si>
    <t>Ikan baronang segar</t>
  </si>
  <si>
    <t>Ikan baung bakar</t>
  </si>
  <si>
    <t>Ikan baung segar</t>
  </si>
  <si>
    <t>Ikan Bawal</t>
  </si>
  <si>
    <t>Ikan Bekasang</t>
  </si>
  <si>
    <t>Ikan Belida bakar</t>
  </si>
  <si>
    <t>Ikan Belida segar</t>
  </si>
  <si>
    <t>Ikan Belut Segar goreng</t>
  </si>
  <si>
    <t>Ikan Belut Segar mentah</t>
  </si>
  <si>
    <t>Ikan Beunteur</t>
  </si>
  <si>
    <t>Ikan biawan segar</t>
  </si>
  <si>
    <t>Ikan bili segar</t>
  </si>
  <si>
    <t>Ikan bubara segar</t>
  </si>
  <si>
    <t>Ikan bulan-bulan segar</t>
  </si>
  <si>
    <t>Ikan cakalang asap mentah</t>
  </si>
  <si>
    <t>Ikan cakalang asin mentah</t>
  </si>
  <si>
    <t>Ikan cakalang hati segar</t>
  </si>
  <si>
    <t>Ikan cakalang jantung segar</t>
  </si>
  <si>
    <t>Ikan cakalang perut segar</t>
  </si>
  <si>
    <t>Ikan cakalang segar</t>
  </si>
  <si>
    <t>Ikan calo/ peda mentah</t>
  </si>
  <si>
    <t>Ikan daun segar</t>
  </si>
  <si>
    <t>Ikan Ekor Kuning</t>
  </si>
  <si>
    <t>Ikan Gabus asap mentah</t>
  </si>
  <si>
    <t>Ikan Gabus kering</t>
  </si>
  <si>
    <t>Ikan Gabus segar</t>
  </si>
  <si>
    <t>Ikan gete goreng</t>
  </si>
  <si>
    <t>Ikan hitam segar</t>
  </si>
  <si>
    <t>Ikan hiu kering</t>
  </si>
  <si>
    <t>Ikan hiu segar</t>
  </si>
  <si>
    <t>Ikan kacangan segar</t>
  </si>
  <si>
    <t>Ikan kakap segar</t>
  </si>
  <si>
    <t>Ikan kakatua segar</t>
  </si>
  <si>
    <t>Ikan kapar segar</t>
  </si>
  <si>
    <t>Ikan katombo asin</t>
  </si>
  <si>
    <t>Ikan kawalinya segar</t>
  </si>
  <si>
    <t>Ikan kayu kering</t>
  </si>
  <si>
    <t>Ikan Kembung</t>
  </si>
  <si>
    <t>Ikan kima segar</t>
  </si>
  <si>
    <t>Ikan Lais bakar</t>
  </si>
  <si>
    <t>Ikan Layang</t>
  </si>
  <si>
    <t>Ikan layur segar</t>
  </si>
  <si>
    <t>Ikan lehoma segar</t>
  </si>
  <si>
    <t>Ikan Lele goreng</t>
  </si>
  <si>
    <t>Ikan Lemuru</t>
  </si>
  <si>
    <t>Ikan lidah segar</t>
  </si>
  <si>
    <t>Ikan lomak asin mentah</t>
  </si>
  <si>
    <t>Ikan malalugis segar</t>
  </si>
  <si>
    <t>Ikan Mas</t>
  </si>
  <si>
    <t>Ikan Mas goreng</t>
  </si>
  <si>
    <t>Ikan Mas pepes</t>
  </si>
  <si>
    <t>Ikan mayong segar</t>
  </si>
  <si>
    <t>Ikan Mujair dendeng goreng</t>
  </si>
  <si>
    <t>Ikan Mujair dendeng mentah</t>
  </si>
  <si>
    <t>Ikan Mujair goreng</t>
  </si>
  <si>
    <t>Ikan Mujair pepes</t>
  </si>
  <si>
    <t>Ikan Mujair segar</t>
  </si>
  <si>
    <t>Ikan nasu metti segar</t>
  </si>
  <si>
    <t>Ikan oci kembung segar</t>
  </si>
  <si>
    <t>Ikan Papuyu bakar</t>
  </si>
  <si>
    <t>Ikan papuyu/ betok segar</t>
  </si>
  <si>
    <t>Ikan Patin bakar</t>
  </si>
  <si>
    <t>Ikan Patin segar</t>
  </si>
  <si>
    <t>Ikan peda banjar mentah</t>
  </si>
  <si>
    <t>Ikan Pepetek</t>
  </si>
  <si>
    <t>Ikan Pindang banjar mentah</t>
  </si>
  <si>
    <t>Ikan Pindang benggol mentah</t>
  </si>
  <si>
    <t>Ikan Pindang layang mentah</t>
  </si>
  <si>
    <t>Ikan Pindang selar mentah</t>
  </si>
  <si>
    <t>Ikan sale lais mentah</t>
  </si>
  <si>
    <t>Ikan Sale segar</t>
  </si>
  <si>
    <t>Ikan saluang kering mentah</t>
  </si>
  <si>
    <t>Ikan saluang segar</t>
  </si>
  <si>
    <t>Ikan sanggang masakan</t>
  </si>
  <si>
    <t>Ikan sarden segar</t>
  </si>
  <si>
    <t>Ikan Segar</t>
  </si>
  <si>
    <t>Ikan Selar kering</t>
  </si>
  <si>
    <t>Ikan selar kuning cue mentah</t>
  </si>
  <si>
    <t>Ikan selar segar</t>
  </si>
  <si>
    <t>Ikan Sepat kering</t>
  </si>
  <si>
    <t>Ikan sepat segar</t>
  </si>
  <si>
    <t>Ikan sidat segar</t>
  </si>
  <si>
    <t>Ikan sunu asin mentah</t>
  </si>
  <si>
    <t>Ikan sunu segar</t>
  </si>
  <si>
    <t>Ikan tahuman segar</t>
  </si>
  <si>
    <t>Ikan tarmon segar</t>
  </si>
  <si>
    <t>Ikan telan segar</t>
  </si>
  <si>
    <t>Ikan telur asin mentah</t>
  </si>
  <si>
    <t>Ikan Tembang</t>
  </si>
  <si>
    <t>Ikan tempahas segar</t>
  </si>
  <si>
    <t>Ikan tepung mentah</t>
  </si>
  <si>
    <t>Ikan terbang segar</t>
  </si>
  <si>
    <t>Ikan Teri bubuk</t>
  </si>
  <si>
    <t>Ikan Teri kering</t>
  </si>
  <si>
    <t>Ikan Teri Kering tawar</t>
  </si>
  <si>
    <t>Ikan Teri Nasi kering</t>
  </si>
  <si>
    <t>Ikan teri segar</t>
  </si>
  <si>
    <t>Ikan Teri tepung</t>
  </si>
  <si>
    <t>Ikan titang segar</t>
  </si>
  <si>
    <t>Ikan tongkol segar</t>
  </si>
  <si>
    <t>Ikan turi segar</t>
  </si>
  <si>
    <t>Intip goreng</t>
  </si>
  <si>
    <t>Itik alabio daging dendeng mentah</t>
  </si>
  <si>
    <t>Jagung grontol</t>
  </si>
  <si>
    <t>Jagung Kuning giling</t>
  </si>
  <si>
    <t>Jagung Kuning muda</t>
  </si>
  <si>
    <t>Jagung Kuning pipil baru</t>
  </si>
  <si>
    <t>Jagung kuning pipil kering mentah</t>
  </si>
  <si>
    <t>Jagung Kuning pipil lama</t>
  </si>
  <si>
    <t>Jagung kuning pipil rebus</t>
  </si>
  <si>
    <t>Jagung Kuning segar</t>
  </si>
  <si>
    <t>Jagung kuning tepung</t>
  </si>
  <si>
    <t>Jagung muda</t>
  </si>
  <si>
    <t>Jagung muda kuning mentah</t>
  </si>
  <si>
    <t>Jagung muda rebus</t>
  </si>
  <si>
    <t>Jagung pipil var. harapan kering</t>
  </si>
  <si>
    <t>Jagung pipil var. metro kering</t>
  </si>
  <si>
    <t>Jagung Putih giling</t>
  </si>
  <si>
    <t>Jagung Putih muda</t>
  </si>
  <si>
    <t>Jagung Putih pipil baru</t>
  </si>
  <si>
    <t>Jagung Putih pipil lama</t>
  </si>
  <si>
    <t>Jagung Putih segar</t>
  </si>
  <si>
    <t xml:space="preserve">Jagung Rebus </t>
  </si>
  <si>
    <t xml:space="preserve">Jagung Sayur (tumis) </t>
  </si>
  <si>
    <t>Jagung titi</t>
  </si>
  <si>
    <t>Jahe</t>
  </si>
  <si>
    <t>Jali</t>
  </si>
  <si>
    <t>Jam selai</t>
  </si>
  <si>
    <t>Jambal goreng</t>
  </si>
  <si>
    <t>Jambu Air</t>
  </si>
  <si>
    <t>Jambu Biji</t>
  </si>
  <si>
    <t>Jambu biji putih tidak berbiji</t>
  </si>
  <si>
    <t>Jambu Bol</t>
  </si>
  <si>
    <t>Jambu Monyet buah</t>
  </si>
  <si>
    <t>Jampang huma mentah</t>
  </si>
  <si>
    <t>Jamur Coklat (kulat siau)</t>
  </si>
  <si>
    <t>Jamur encik</t>
  </si>
  <si>
    <t>Jamur kuping kering</t>
  </si>
  <si>
    <t>Jamur kuping segar</t>
  </si>
  <si>
    <t>Jamur merang segar</t>
  </si>
  <si>
    <t>Jamur Putih (kulat putih)</t>
  </si>
  <si>
    <t>Jamur sagu</t>
  </si>
  <si>
    <t>Jamur tiram segar</t>
  </si>
  <si>
    <t>Jangang bintatoeng masakan</t>
  </si>
  <si>
    <t>Jantung Pisang segar</t>
  </si>
  <si>
    <t>Japilus</t>
  </si>
  <si>
    <t>Jaruk Tigarun</t>
  </si>
  <si>
    <t>Jawawut</t>
  </si>
  <si>
    <t xml:space="preserve">Jenang </t>
  </si>
  <si>
    <t>Jengkol segar</t>
  </si>
  <si>
    <t>Jeruk Bali</t>
  </si>
  <si>
    <t>Jeruk banjar segar</t>
  </si>
  <si>
    <t>Jeruk Garut</t>
  </si>
  <si>
    <t>Jeruk Kalamansi segar</t>
  </si>
  <si>
    <t>Jeruk Manis</t>
  </si>
  <si>
    <t>Jeruk Nipis</t>
  </si>
  <si>
    <t>Jeruk ragi segar</t>
  </si>
  <si>
    <t>Jotang</t>
  </si>
  <si>
    <t>Jukku pallu kaloa masakan</t>
  </si>
  <si>
    <t>Kabau segar</t>
  </si>
  <si>
    <t>Kaburan ubi segar</t>
  </si>
  <si>
    <t>Kabuto</t>
  </si>
  <si>
    <t>Kacang Andong</t>
  </si>
  <si>
    <t>Kacang Arab</t>
  </si>
  <si>
    <t>Kacang atom</t>
  </si>
  <si>
    <t>Kacang babi kering</t>
  </si>
  <si>
    <t>Kacang belimbing (kecipir) kering</t>
  </si>
  <si>
    <t>Kacang Belimbing rebus</t>
  </si>
  <si>
    <t>Kacang Belimbing tempe</t>
  </si>
  <si>
    <t>Kacang beracun segar</t>
  </si>
  <si>
    <t>Kacang Bogor goreng</t>
  </si>
  <si>
    <t>Kacang bogor kering</t>
  </si>
  <si>
    <t>Kacang Bogor rebus</t>
  </si>
  <si>
    <t>Kacang bogor segar</t>
  </si>
  <si>
    <t>Kacang Endel biji</t>
  </si>
  <si>
    <t>Kacang ercis segar</t>
  </si>
  <si>
    <t>kacang galing segar</t>
  </si>
  <si>
    <t>Kacang goyang</t>
  </si>
  <si>
    <t>Kacang Gude biji</t>
  </si>
  <si>
    <t>Kacang gude biji kering</t>
  </si>
  <si>
    <t>Kacang Gude biji muda</t>
  </si>
  <si>
    <t>Kacang Gude muda</t>
  </si>
  <si>
    <t>Kacang gude rebus</t>
  </si>
  <si>
    <t>Kacang hijau kering</t>
  </si>
  <si>
    <t>kacang hijau rebus</t>
  </si>
  <si>
    <t>Kacang hijau var. bakti kering</t>
  </si>
  <si>
    <t>Kacang hijau var. siwalik kering</t>
  </si>
  <si>
    <t>Kacang hitam kering</t>
  </si>
  <si>
    <t>Kacang Ijo</t>
  </si>
  <si>
    <t xml:space="preserve">Kacang Kapri Goreng </t>
  </si>
  <si>
    <t>Kacang Kapri muda</t>
  </si>
  <si>
    <t>Kacang Kedelai basah</t>
  </si>
  <si>
    <t>Kacang kedelai goreng</t>
  </si>
  <si>
    <t>Kacang kedelai kering</t>
  </si>
  <si>
    <t>Kacang Kedelai kukus</t>
  </si>
  <si>
    <t>Kacang kedelai rebus</t>
  </si>
  <si>
    <t>Kacang kedelai segar</t>
  </si>
  <si>
    <t>Kacang komak segar</t>
  </si>
  <si>
    <t>Kacang kuning kering</t>
  </si>
  <si>
    <t>Kacang lebui /iris kering</t>
  </si>
  <si>
    <t>Kacang mekah polong segar</t>
  </si>
  <si>
    <t>Kacang mentega kering</t>
  </si>
  <si>
    <t>Kacang Merah</t>
  </si>
  <si>
    <t>Kacang merah /banda kering</t>
  </si>
  <si>
    <t>Kacang merah kering</t>
  </si>
  <si>
    <t>Kacang Merah kering rebus</t>
  </si>
  <si>
    <t>Kacang merah segar</t>
  </si>
  <si>
    <t>Kacang Merah segar rebus</t>
  </si>
  <si>
    <t>Kacang merah tua kering</t>
  </si>
  <si>
    <t>Kacang mete/biji jambu monyet goreng</t>
  </si>
  <si>
    <t>Kacang mete/biji jambu monyet segar</t>
  </si>
  <si>
    <t>Kacang negara</t>
  </si>
  <si>
    <t>Kacang Panjang</t>
  </si>
  <si>
    <t>Kacang Panjang biji</t>
  </si>
  <si>
    <t>Kacang Panjang kukus</t>
  </si>
  <si>
    <t>Kacang Panjang tumis</t>
  </si>
  <si>
    <t>Kacang ranti polong</t>
  </si>
  <si>
    <t>Kacang sukro</t>
  </si>
  <si>
    <t xml:space="preserve">Kacang Sukro Putih </t>
  </si>
  <si>
    <t>Kacang Tanah atom</t>
  </si>
  <si>
    <t>Kacang tanah goreng</t>
  </si>
  <si>
    <t>Kacang Tanah kacang sari</t>
  </si>
  <si>
    <t>Kacang tanah kering</t>
  </si>
  <si>
    <t xml:space="preserve">Kacang Tanah Rebus </t>
  </si>
  <si>
    <t>Kacang Tanah rebus berkulit</t>
  </si>
  <si>
    <t>Kacang Tanah rempeyek</t>
  </si>
  <si>
    <t>Kacang Tanah sangan berselaput</t>
  </si>
  <si>
    <t>Kacang tanah sangan tanpa selaput</t>
  </si>
  <si>
    <t>Kacang tanah sari</t>
  </si>
  <si>
    <t xml:space="preserve">Kacang Telur </t>
  </si>
  <si>
    <t>Kacang tolo / tunggak kering</t>
  </si>
  <si>
    <t>Kacang tolo rebus</t>
  </si>
  <si>
    <t>Kacang Tunggak (tolo)</t>
  </si>
  <si>
    <t>Kacang Tunggak rebus</t>
  </si>
  <si>
    <t>Kacang Tunggak rempeyek</t>
  </si>
  <si>
    <t>Kacang tunis kering</t>
  </si>
  <si>
    <t>Kacang uci kering</t>
  </si>
  <si>
    <t>Kacang urei kering</t>
  </si>
  <si>
    <t>Kadada katembe</t>
  </si>
  <si>
    <t>Kaholeo masakan</t>
  </si>
  <si>
    <t>Kakap</t>
  </si>
  <si>
    <t>Kalakai</t>
  </si>
  <si>
    <t>Kalio jeroan masakan</t>
  </si>
  <si>
    <t>Kalio kikil (tunjang) masakan</t>
  </si>
  <si>
    <t>Kalio otak masakan</t>
  </si>
  <si>
    <t>Kalio telur masakan</t>
  </si>
  <si>
    <t>Kambing daging segar</t>
  </si>
  <si>
    <t>Kambose</t>
  </si>
  <si>
    <t>Kangkung</t>
  </si>
  <si>
    <t>Kangkung kukus</t>
  </si>
  <si>
    <t>Kangkung rebus</t>
  </si>
  <si>
    <t>Kangkung tondano</t>
  </si>
  <si>
    <t>Kangkung tumis</t>
  </si>
  <si>
    <t>Kaparende sayur</t>
  </si>
  <si>
    <t>Kapri Muda</t>
  </si>
  <si>
    <t>Kapurung</t>
  </si>
  <si>
    <t>Kapusa</t>
  </si>
  <si>
    <t>Karawila</t>
  </si>
  <si>
    <t xml:space="preserve">Karedok </t>
  </si>
  <si>
    <t>Karedok sayur</t>
  </si>
  <si>
    <t xml:space="preserve">Karoket </t>
  </si>
  <si>
    <t>Katak</t>
  </si>
  <si>
    <t>Katul Beras</t>
  </si>
  <si>
    <t>Katul Jagung</t>
  </si>
  <si>
    <t>Kawista segar</t>
  </si>
  <si>
    <t>Kecap</t>
  </si>
  <si>
    <t>Kecimpring singkong goreng</t>
  </si>
  <si>
    <t>Kecipir biji</t>
  </si>
  <si>
    <t>Kecipir buah muda</t>
  </si>
  <si>
    <t>Kecipir muda segar</t>
  </si>
  <si>
    <t>Kecombrang segar</t>
  </si>
  <si>
    <t xml:space="preserve">Kedondong segar </t>
  </si>
  <si>
    <t>Keju</t>
  </si>
  <si>
    <t>Keju Kacang Tanah</t>
  </si>
  <si>
    <t>Kelapa hutan kering</t>
  </si>
  <si>
    <t>Kelapa Muda air</t>
  </si>
  <si>
    <t>Kelapa Muda daging</t>
  </si>
  <si>
    <t>Kelapa Setengah Tua daging</t>
  </si>
  <si>
    <t>Kelapa Tua daging</t>
  </si>
  <si>
    <t xml:space="preserve">Kelepon </t>
  </si>
  <si>
    <t>Kelewih</t>
  </si>
  <si>
    <t>Kelinci daging segar</t>
  </si>
  <si>
    <t>Kemang</t>
  </si>
  <si>
    <t>Kembang tahu</t>
  </si>
  <si>
    <t>Kembang Turi</t>
  </si>
  <si>
    <t>Kemiri</t>
  </si>
  <si>
    <t>Kenari</t>
  </si>
  <si>
    <t>Kenari banda kering</t>
  </si>
  <si>
    <t>Kentang</t>
  </si>
  <si>
    <t>Kentang Hitam</t>
  </si>
  <si>
    <t>Keong</t>
  </si>
  <si>
    <t>Kepala Susu (Krim)</t>
  </si>
  <si>
    <t>Kepiting</t>
  </si>
  <si>
    <t>Kerang</t>
  </si>
  <si>
    <t>Kerang asap mentah</t>
  </si>
  <si>
    <t>Kerang dendeng mentah</t>
  </si>
  <si>
    <t>Kerbau daging segar</t>
  </si>
  <si>
    <t>Keremes</t>
  </si>
  <si>
    <t>Keribang ubi segar</t>
  </si>
  <si>
    <t>Keripik bayam</t>
  </si>
  <si>
    <t>Keripik gadung</t>
  </si>
  <si>
    <t>Keripik kentang</t>
  </si>
  <si>
    <t>Keripik lampung</t>
  </si>
  <si>
    <t>Keripik oncom</t>
  </si>
  <si>
    <t>Keripik singkong</t>
  </si>
  <si>
    <t>Keripik singkong berbumbu</t>
  </si>
  <si>
    <t>Keripik tempe</t>
  </si>
  <si>
    <t>Keripik tempe abadi murni</t>
  </si>
  <si>
    <t>Keripik tempe abadi sedang</t>
  </si>
  <si>
    <t>Keripik tempe abadi telur</t>
  </si>
  <si>
    <t>Keripik ubi</t>
  </si>
  <si>
    <t>Kerokot segar</t>
  </si>
  <si>
    <t>Kerupuk Aci</t>
  </si>
  <si>
    <t>Kerupuk cumi goreng</t>
  </si>
  <si>
    <t>Kerupuk Ikan berpati</t>
  </si>
  <si>
    <t>Kerupuk kemplang  (ikan) mentah</t>
  </si>
  <si>
    <t>Kerupuk kemplang goreng</t>
  </si>
  <si>
    <t>Kerupuk kemplang panggang</t>
  </si>
  <si>
    <t>Kerupuk Kulit kerbau</t>
  </si>
  <si>
    <t>Kerupuk Melinjo mentah</t>
  </si>
  <si>
    <t>Kerupuk Melinjo tebal goreng asin</t>
  </si>
  <si>
    <t>Kerupuk Melinjo tebal goreng manis</t>
  </si>
  <si>
    <t>Kerupuk Melinjo tipis goreng</t>
  </si>
  <si>
    <t>Kerupuk mie kuning goreng</t>
  </si>
  <si>
    <t xml:space="preserve">Kerupuk Sayong </t>
  </si>
  <si>
    <t xml:space="preserve">Kerupuk Udang </t>
  </si>
  <si>
    <t>Kerupuk Udang berpati</t>
  </si>
  <si>
    <t>Kerupuk udang goreng</t>
  </si>
  <si>
    <t>Kerupuk urat</t>
  </si>
  <si>
    <t>Kesemek</t>
  </si>
  <si>
    <t>Ketan hitam matang</t>
  </si>
  <si>
    <t>Ketan putih matang</t>
  </si>
  <si>
    <t xml:space="preserve">Ketapang </t>
  </si>
  <si>
    <t>Ketela Pohon Kuning</t>
  </si>
  <si>
    <t>Ketela singkong segar</t>
  </si>
  <si>
    <t>Ketela pohon/singkong kukus</t>
  </si>
  <si>
    <t>Ketimun</t>
  </si>
  <si>
    <t>Ketimun madura segar</t>
  </si>
  <si>
    <t>Ketoprak</t>
  </si>
  <si>
    <t>Ketumbar</t>
  </si>
  <si>
    <t>Ketupat ketan</t>
  </si>
  <si>
    <t xml:space="preserve">Ketupat Tahu </t>
  </si>
  <si>
    <t>Kluwek</t>
  </si>
  <si>
    <t>Kodok segar</t>
  </si>
  <si>
    <t>Kokosan</t>
  </si>
  <si>
    <t>Komak polong segar</t>
  </si>
  <si>
    <t>Kool Kembang</t>
  </si>
  <si>
    <t>Kool Merah kool putih</t>
  </si>
  <si>
    <t>Kopi bagian yang larut</t>
  </si>
  <si>
    <t>Kopi bubuk instant</t>
  </si>
  <si>
    <t>Koro andong kering</t>
  </si>
  <si>
    <t>Koro Benguk biji</t>
  </si>
  <si>
    <t>Koro Benguk tempe</t>
  </si>
  <si>
    <t>Koro Kerupuk biji</t>
  </si>
  <si>
    <t>Koro Loke biji</t>
  </si>
  <si>
    <t>Koro Roway biji</t>
  </si>
  <si>
    <t>Koro Wedus biji</t>
  </si>
  <si>
    <t>Koro Wedus buah muda</t>
  </si>
  <si>
    <t>Koro wedus polong</t>
  </si>
  <si>
    <t>Kotiu hinela tawang nggole</t>
  </si>
  <si>
    <t>Koya</t>
  </si>
  <si>
    <t>Koya mirasa</t>
  </si>
  <si>
    <t>Kranji segar</t>
  </si>
  <si>
    <t xml:space="preserve">Kripik Tempe Goreng </t>
  </si>
  <si>
    <t>Krokot</t>
  </si>
  <si>
    <t>Kucai</t>
  </si>
  <si>
    <t>Kucai Muda (Lokio)</t>
  </si>
  <si>
    <t>Kuda daging segar</t>
  </si>
  <si>
    <t>Kue ali</t>
  </si>
  <si>
    <t xml:space="preserve">Kue Apem </t>
  </si>
  <si>
    <t>Kue bangket</t>
  </si>
  <si>
    <t xml:space="preserve">Kue Bugis </t>
  </si>
  <si>
    <t>Kue jahe</t>
  </si>
  <si>
    <t>Kue kelapa</t>
  </si>
  <si>
    <t xml:space="preserve">Kue Koya </t>
  </si>
  <si>
    <t>Kue lumpur</t>
  </si>
  <si>
    <t xml:space="preserve">Kue mangkok </t>
  </si>
  <si>
    <t xml:space="preserve">Kue Pacar Cina </t>
  </si>
  <si>
    <t xml:space="preserve">Kue Pia </t>
  </si>
  <si>
    <t>Kue putu cangkir</t>
  </si>
  <si>
    <t>Kue putu singkong</t>
  </si>
  <si>
    <t xml:space="preserve">Kue Satu </t>
  </si>
  <si>
    <t xml:space="preserve">Kue Semprong </t>
  </si>
  <si>
    <t>Kue sus</t>
  </si>
  <si>
    <t xml:space="preserve">Kue Talam </t>
  </si>
  <si>
    <t xml:space="preserve">Kue Tambang </t>
  </si>
  <si>
    <t>Kue thipan</t>
  </si>
  <si>
    <t>Kulit melinjo</t>
  </si>
  <si>
    <t>Kundur segar</t>
  </si>
  <si>
    <t>Kunyit</t>
  </si>
  <si>
    <t>Kura-kura</t>
  </si>
  <si>
    <t>Kwaci</t>
  </si>
  <si>
    <t>Kwark (Quark)</t>
  </si>
  <si>
    <t>Labu Air</t>
  </si>
  <si>
    <t>Labu kuning segar</t>
  </si>
  <si>
    <t>Labu Siam</t>
  </si>
  <si>
    <t>Labu waluh segar</t>
  </si>
  <si>
    <t xml:space="preserve">Laksa </t>
  </si>
  <si>
    <t>Lamtoro (pete cina) biji muda</t>
  </si>
  <si>
    <t>Lamtoro biji tua</t>
  </si>
  <si>
    <t>Lamtoro tempe</t>
  </si>
  <si>
    <t>Lamtoro var. gung tanpa kulit</t>
  </si>
  <si>
    <t>Lamtoro var. lokal dengan kulit</t>
  </si>
  <si>
    <t>Langsat</t>
  </si>
  <si>
    <t>Lantar segar</t>
  </si>
  <si>
    <t>Lanting getuk</t>
  </si>
  <si>
    <t>Lapis legit</t>
  </si>
  <si>
    <t>Lawar babi masakan</t>
  </si>
  <si>
    <t>Lawar penyu masakan</t>
  </si>
  <si>
    <t>Lawara jangang masakan</t>
  </si>
  <si>
    <t>Lawara penjah masakan</t>
  </si>
  <si>
    <t>Ledre pisang</t>
  </si>
  <si>
    <t>Lema/ Rebung asam</t>
  </si>
  <si>
    <t>Lemak Babi</t>
  </si>
  <si>
    <t>Lemak Babi (Bacon)</t>
  </si>
  <si>
    <t>Lemak ikan</t>
  </si>
  <si>
    <t>Lemak Kerbau</t>
  </si>
  <si>
    <t>Lemon segar</t>
  </si>
  <si>
    <t>Lemon Squasih</t>
  </si>
  <si>
    <t>Lemonade</t>
  </si>
  <si>
    <t xml:space="preserve">Lemper </t>
  </si>
  <si>
    <t>Lempog durian</t>
  </si>
  <si>
    <t>Lepok/Ubi rumput</t>
  </si>
  <si>
    <t>Leunca buah</t>
  </si>
  <si>
    <t xml:space="preserve">Leupeut Ketan </t>
  </si>
  <si>
    <t>Leverwost (sosis hati)</t>
  </si>
  <si>
    <t>Lilin bungkus gedi</t>
  </si>
  <si>
    <t>Lobak</t>
  </si>
  <si>
    <t>Lokan segar</t>
  </si>
  <si>
    <t>Lontar segar</t>
  </si>
  <si>
    <t xml:space="preserve">Lopis </t>
  </si>
  <si>
    <t>Lumai/Leunca segar</t>
  </si>
  <si>
    <t>Lupis ketan</t>
  </si>
  <si>
    <t>Madu</t>
  </si>
  <si>
    <t>Maizena tepung</t>
  </si>
  <si>
    <t>Makaroni</t>
  </si>
  <si>
    <t>Mangga benggala segar</t>
  </si>
  <si>
    <t>Mangga Gedong</t>
  </si>
  <si>
    <t>Mangga Golek</t>
  </si>
  <si>
    <t>Mangga Harum Manis</t>
  </si>
  <si>
    <t>Mangga Indramayu</t>
  </si>
  <si>
    <t>Mangga Kopek</t>
  </si>
  <si>
    <t>Mangga kwini segar</t>
  </si>
  <si>
    <t>Mangga manalagi segar</t>
  </si>
  <si>
    <t>Mangga Muda</t>
  </si>
  <si>
    <t>Mangga segar</t>
  </si>
  <si>
    <t>Manggis</t>
  </si>
  <si>
    <t>Margarin</t>
  </si>
  <si>
    <t>Markisa segar</t>
  </si>
  <si>
    <t>Markisa squash</t>
  </si>
  <si>
    <t>Markisa squash BD</t>
  </si>
  <si>
    <t>Martabak  manis</t>
  </si>
  <si>
    <t>Martabak india</t>
  </si>
  <si>
    <t>Martabak mesir</t>
  </si>
  <si>
    <t xml:space="preserve">Martabak Telur </t>
  </si>
  <si>
    <t>Masekat</t>
  </si>
  <si>
    <t>Matoa segar</t>
  </si>
  <si>
    <t>Melase</t>
  </si>
  <si>
    <t>Melinjo</t>
  </si>
  <si>
    <t>Melon segar</t>
  </si>
  <si>
    <t>Menjangan daging dendeng mentah</t>
  </si>
  <si>
    <t>Mentega</t>
  </si>
  <si>
    <t>Menteng</t>
  </si>
  <si>
    <t>Merica</t>
  </si>
  <si>
    <t>Mi basah</t>
  </si>
  <si>
    <t>Mi golosor</t>
  </si>
  <si>
    <t>Mi kering</t>
  </si>
  <si>
    <t>Mie aceh rebus</t>
  </si>
  <si>
    <t>Mie ayam</t>
  </si>
  <si>
    <t>Mie bakso</t>
  </si>
  <si>
    <t>Mie basah</t>
  </si>
  <si>
    <t>Mie Bendo</t>
  </si>
  <si>
    <t>Mie celon</t>
  </si>
  <si>
    <t xml:space="preserve">Mie Goreng </t>
  </si>
  <si>
    <t>Mie kering</t>
  </si>
  <si>
    <t>Mie pangsit basah</t>
  </si>
  <si>
    <t>Mie Sagu</t>
  </si>
  <si>
    <t>Minyak Hati Hiu (Eulamia)</t>
  </si>
  <si>
    <t>Minyak Ikan</t>
  </si>
  <si>
    <t>Minyak Kacang Tanah</t>
  </si>
  <si>
    <t>Minyak kedelai</t>
  </si>
  <si>
    <t>Minyak Kelapa</t>
  </si>
  <si>
    <t>Minyak Kelapa Sawit</t>
  </si>
  <si>
    <t>Minyak Wijen</t>
  </si>
  <si>
    <t>Minyak Zaitun</t>
  </si>
  <si>
    <t>Misoa</t>
  </si>
  <si>
    <t xml:space="preserve">Misro </t>
  </si>
  <si>
    <t>Moon tahu</t>
  </si>
  <si>
    <t>Mostarda metan -sawi</t>
  </si>
  <si>
    <t>Mujahir acar kuning masakan</t>
  </si>
  <si>
    <t>Naan maran sapi masakan</t>
  </si>
  <si>
    <t>Nanas</t>
  </si>
  <si>
    <t>Nanas palembang segar</t>
  </si>
  <si>
    <t>Nangka biji</t>
  </si>
  <si>
    <t>Nangka masak di pohon</t>
  </si>
  <si>
    <t>Nangka Muda</t>
  </si>
  <si>
    <t>Nasi</t>
  </si>
  <si>
    <t>Nasi beras merah</t>
  </si>
  <si>
    <t>Nasi gemuk</t>
  </si>
  <si>
    <t xml:space="preserve">Nasi Goreng </t>
  </si>
  <si>
    <t>Nasi gurih</t>
  </si>
  <si>
    <t>Nasi jagung</t>
  </si>
  <si>
    <t>Nasi minyak</t>
  </si>
  <si>
    <t>Nasi rames</t>
  </si>
  <si>
    <t>Nasi tim</t>
  </si>
  <si>
    <t xml:space="preserve">Nasi Uduk </t>
  </si>
  <si>
    <t>Nasu likku masakan</t>
  </si>
  <si>
    <t xml:space="preserve">Noga Kacang Tanah </t>
  </si>
  <si>
    <t>Nopia spesial</t>
  </si>
  <si>
    <t>Olah-olah</t>
  </si>
  <si>
    <t>Oncom</t>
  </si>
  <si>
    <t>Oncom ampas kacang hijau</t>
  </si>
  <si>
    <t xml:space="preserve">Oncom Goreng </t>
  </si>
  <si>
    <t xml:space="preserve">Oncom Hitam Goreng </t>
  </si>
  <si>
    <t xml:space="preserve">Oncom Hitam Goreng bertepung </t>
  </si>
  <si>
    <t>Oncom kacang hijau + singkong</t>
  </si>
  <si>
    <t>Oncom Kacang Tanah pepes</t>
  </si>
  <si>
    <t>Oncom Kedele</t>
  </si>
  <si>
    <t xml:space="preserve">Oncom Merah Goreng </t>
  </si>
  <si>
    <t xml:space="preserve">Oncom Merah Goreng bertepung </t>
  </si>
  <si>
    <t xml:space="preserve">Oncom Merah Sayur (tumis) </t>
  </si>
  <si>
    <t>Oncom pepes</t>
  </si>
  <si>
    <t xml:space="preserve">Onde-onde </t>
  </si>
  <si>
    <t xml:space="preserve">Ongol-ongol </t>
  </si>
  <si>
    <t>Ongol-ongol sagu</t>
  </si>
  <si>
    <t xml:space="preserve">Opak Singkong </t>
  </si>
  <si>
    <t>Oramu ninahu ndawa olaho masakan</t>
  </si>
  <si>
    <t>Otak</t>
  </si>
  <si>
    <t>Oyek</t>
  </si>
  <si>
    <t>Oyek (dari singkong)</t>
  </si>
  <si>
    <t>Paku hinela wulelenggapaya</t>
  </si>
  <si>
    <t>Pala biji</t>
  </si>
  <si>
    <t>Pala daging</t>
  </si>
  <si>
    <t>Paniki masak santan masakan</t>
  </si>
  <si>
    <t xml:space="preserve">Papais </t>
  </si>
  <si>
    <t>Papeda</t>
  </si>
  <si>
    <t>Parede baleh masakan</t>
  </si>
  <si>
    <t>Paria (Pare)</t>
  </si>
  <si>
    <t>Paria Putih kukus</t>
  </si>
  <si>
    <t>Paria putih segar</t>
  </si>
  <si>
    <t>Pastel</t>
  </si>
  <si>
    <t>Pati Singkong (tapioka)</t>
  </si>
  <si>
    <t>Pe-Cay</t>
  </si>
  <si>
    <t>Peda Ikan Banjar</t>
  </si>
  <si>
    <t>Pelecing kangkung</t>
  </si>
  <si>
    <t>Pelepah manuk masakan</t>
  </si>
  <si>
    <t>Pempek adaan</t>
  </si>
  <si>
    <t>Pempek belida</t>
  </si>
  <si>
    <t>Pempek kapal selam</t>
  </si>
  <si>
    <t>Pempek kelesan</t>
  </si>
  <si>
    <t>Pempek kulit</t>
  </si>
  <si>
    <t>Pempek tenggiri</t>
  </si>
  <si>
    <t>Pencok lele masakan</t>
  </si>
  <si>
    <t>Penyu serapah masakan</t>
  </si>
  <si>
    <t>Pepare ular segar</t>
  </si>
  <si>
    <t>Pepaya lodeh</t>
  </si>
  <si>
    <t>Pepaya Muda</t>
  </si>
  <si>
    <t>Pepaya segar</t>
  </si>
  <si>
    <t>Pepea oncom ampas tahu</t>
  </si>
  <si>
    <t xml:space="preserve">Permen </t>
  </si>
  <si>
    <t>Pete Segar</t>
  </si>
  <si>
    <t>Peterseli</t>
  </si>
  <si>
    <t>Petis Ikan</t>
  </si>
  <si>
    <t>Petis Udang</t>
  </si>
  <si>
    <t>Petis udang kering</t>
  </si>
  <si>
    <t>Petis udang pasta</t>
  </si>
  <si>
    <t xml:space="preserve">Pilus </t>
  </si>
  <si>
    <t>Pinda masakan</t>
  </si>
  <si>
    <t>Pindang Ikan Banjar</t>
  </si>
  <si>
    <t>Pindang Ikan Benggol</t>
  </si>
  <si>
    <t>Pindang Ikan Layang</t>
  </si>
  <si>
    <t>Pindang Ikan Selar Kecil</t>
  </si>
  <si>
    <t>Pindang kenari masakan</t>
  </si>
  <si>
    <t>Pisang Ambon</t>
  </si>
  <si>
    <t>Pisang angleng (pisang ampyang) segar</t>
  </si>
  <si>
    <t>Pisang ayam segar</t>
  </si>
  <si>
    <t xml:space="preserve">Pisang gapi segar </t>
  </si>
  <si>
    <t xml:space="preserve">Pisang Goreng </t>
  </si>
  <si>
    <t>Pisang goroho segar</t>
  </si>
  <si>
    <t>Pisang hijau segar</t>
  </si>
  <si>
    <t>Pisang kayu segar</t>
  </si>
  <si>
    <t>Pisang kepok segar</t>
  </si>
  <si>
    <t>Pisang ketip segar</t>
  </si>
  <si>
    <t>Pisang kidang segar</t>
  </si>
  <si>
    <t>Pisang Lampung</t>
  </si>
  <si>
    <t>Pisang Mas</t>
  </si>
  <si>
    <t>Pisang mas bali</t>
  </si>
  <si>
    <t>Pisang Oli</t>
  </si>
  <si>
    <t>Pisang Raja</t>
  </si>
  <si>
    <t>Pisang Raja Sere (Susu)</t>
  </si>
  <si>
    <t>Pisang rotan segar</t>
  </si>
  <si>
    <t>Pisang Siam goreng</t>
  </si>
  <si>
    <t>Pisang talas segar</t>
  </si>
  <si>
    <t>Prey (bawang daun)</t>
  </si>
  <si>
    <t>Pucuk lumai/daun leunca segar</t>
  </si>
  <si>
    <t>Pulut</t>
  </si>
  <si>
    <t>Punai daging goreng</t>
  </si>
  <si>
    <t>Pundut nasi</t>
  </si>
  <si>
    <t>Purundawa</t>
  </si>
  <si>
    <t>Purut segar</t>
  </si>
  <si>
    <t>Putri malu segar</t>
  </si>
  <si>
    <t>Putri selat</t>
  </si>
  <si>
    <t xml:space="preserve">Putu Mayang </t>
  </si>
  <si>
    <t>Ragi</t>
  </si>
  <si>
    <t>Rajungan segar</t>
  </si>
  <si>
    <t>Rambutan</t>
  </si>
  <si>
    <t>Rambutan Aceh</t>
  </si>
  <si>
    <t>Rambutan binjai segar</t>
  </si>
  <si>
    <t>Rambutan sinyonya</t>
  </si>
  <si>
    <t xml:space="preserve">Rarawuan </t>
  </si>
  <si>
    <t>Rasbi (Beras Ubi)</t>
  </si>
  <si>
    <t>Rasi (Beras Singkong)</t>
  </si>
  <si>
    <t>Rawon masakan</t>
  </si>
  <si>
    <t>Rebon (udang kecil segar)</t>
  </si>
  <si>
    <t>Rebon kering</t>
  </si>
  <si>
    <t>Rebon udang kecil segar</t>
  </si>
  <si>
    <t>Rebung</t>
  </si>
  <si>
    <t>Rebung laut mentah</t>
  </si>
  <si>
    <t>Rempeyek kacang tolo</t>
  </si>
  <si>
    <t>Rempeyek kacang uci</t>
  </si>
  <si>
    <t>Rendang sapi masakan</t>
  </si>
  <si>
    <t>Renggi goreng</t>
  </si>
  <si>
    <t>Rimbang segar</t>
  </si>
  <si>
    <t xml:space="preserve">Risoles </t>
  </si>
  <si>
    <t>Roti boong</t>
  </si>
  <si>
    <t xml:space="preserve">Roti Gambang </t>
  </si>
  <si>
    <t>Roti Putih</t>
  </si>
  <si>
    <t>Roti warna sawo matang</t>
  </si>
  <si>
    <t>Rujak cingur</t>
  </si>
  <si>
    <t>Rumput laut</t>
  </si>
  <si>
    <t>Rusa daging dendeng mentah</t>
  </si>
  <si>
    <t>Rusip</t>
  </si>
  <si>
    <t>RW anjing masakan</t>
  </si>
  <si>
    <t>Saga biji tanpa kulit</t>
  </si>
  <si>
    <t xml:space="preserve">Sagu Ambon </t>
  </si>
  <si>
    <t>Sagu aren kering</t>
  </si>
  <si>
    <t>Sagu aren segar</t>
  </si>
  <si>
    <t>Sagu forno</t>
  </si>
  <si>
    <t>Sagu kasbi segar</t>
  </si>
  <si>
    <t>Sagu Lemak (Kue Sagon)</t>
  </si>
  <si>
    <t>Sagu lempeng</t>
  </si>
  <si>
    <t>Sagu Rendang</t>
  </si>
  <si>
    <t>Sagu singkong kering</t>
  </si>
  <si>
    <t>Sagu sinole</t>
  </si>
  <si>
    <t>Salak bali segar</t>
  </si>
  <si>
    <t>Salak medan segar</t>
  </si>
  <si>
    <t>Salak pondoh segar</t>
  </si>
  <si>
    <t>Sale pisang siam</t>
  </si>
  <si>
    <t>Santan (dengan air)</t>
  </si>
  <si>
    <t>Santan (kelapa saja)</t>
  </si>
  <si>
    <t>Santan murni</t>
  </si>
  <si>
    <t>Saos Tomat</t>
  </si>
  <si>
    <t>Sapi abon</t>
  </si>
  <si>
    <t>Sapi babat segar</t>
  </si>
  <si>
    <t>Sapi daging asap</t>
  </si>
  <si>
    <t>Sapi daging dendeng mentah</t>
  </si>
  <si>
    <t>Sapi daging gemuk segar</t>
  </si>
  <si>
    <t>Sapi daging kornet</t>
  </si>
  <si>
    <t>Sapi daging kurus segar</t>
  </si>
  <si>
    <t>Sapi daging lemak sedang segar</t>
  </si>
  <si>
    <t>Sapi daging sosis (Worst)</t>
  </si>
  <si>
    <t>Sapi daleman segar</t>
  </si>
  <si>
    <t>Sapi dideh/darah</t>
  </si>
  <si>
    <t>Sapi ginjal segar</t>
  </si>
  <si>
    <t>Sapi hati sosis (liverworst)</t>
  </si>
  <si>
    <t>Sapi keleponan segar</t>
  </si>
  <si>
    <t>Sapi liver segar</t>
  </si>
  <si>
    <t>Sapi otak segar</t>
  </si>
  <si>
    <t>Sapi paru dendeng mentah</t>
  </si>
  <si>
    <t>Sapi paru goreng</t>
  </si>
  <si>
    <t>Sapi usus segar</t>
  </si>
  <si>
    <t>Sarang Burung</t>
  </si>
  <si>
    <t>Sardines dalam kaleng</t>
  </si>
  <si>
    <t>Sari Kedelai bubuk</t>
  </si>
  <si>
    <t>Sarimuka</t>
  </si>
  <si>
    <t>Sate Bandeng</t>
  </si>
  <si>
    <t xml:space="preserve">Sate Kulit </t>
  </si>
  <si>
    <t>Sate penyu masakan</t>
  </si>
  <si>
    <t>Sate pusut masakan</t>
  </si>
  <si>
    <t xml:space="preserve">Sate Usus </t>
  </si>
  <si>
    <t>Sawi</t>
  </si>
  <si>
    <t>Sawi putih / pecai segar</t>
  </si>
  <si>
    <t>Sawi taiwan segar</t>
  </si>
  <si>
    <t>Sawi tanah segar</t>
  </si>
  <si>
    <t>Sawo</t>
  </si>
  <si>
    <t>Sawo duren segar</t>
  </si>
  <si>
    <t>Sawo kecik segar</t>
  </si>
  <si>
    <t>Sawo Manila segar</t>
  </si>
  <si>
    <t>Sayur asem</t>
  </si>
  <si>
    <t>Sayur bunga pepaya</t>
  </si>
  <si>
    <t>Sayur garu</t>
  </si>
  <si>
    <t>Sayur kohu-kohu</t>
  </si>
  <si>
    <t>Sayur lebui</t>
  </si>
  <si>
    <t>Sayur lilin-terubuk</t>
  </si>
  <si>
    <t>Sayur ndusuk</t>
  </si>
  <si>
    <t>Sayur sop</t>
  </si>
  <si>
    <t>Sayur umbut kelapa</t>
  </si>
  <si>
    <t>Sayur umbut rotan</t>
  </si>
  <si>
    <t>Selada</t>
  </si>
  <si>
    <t>Selada Air</t>
  </si>
  <si>
    <t>Selada Air rebus</t>
  </si>
  <si>
    <t>Seledri</t>
  </si>
  <si>
    <t>Semangka</t>
  </si>
  <si>
    <t xml:space="preserve">Semur Jengkol </t>
  </si>
  <si>
    <t>Sente</t>
  </si>
  <si>
    <t>Sente talas segar</t>
  </si>
  <si>
    <t>Sepi masakan</t>
  </si>
  <si>
    <t>Serbuk Coklat</t>
  </si>
  <si>
    <t>Serimping talas kebumen</t>
  </si>
  <si>
    <t>Setrup sirup</t>
  </si>
  <si>
    <t>Shabu-shabu</t>
  </si>
  <si>
    <t>Sie reuboh masakan</t>
  </si>
  <si>
    <t>Singkah (rotan muda)</t>
  </si>
  <si>
    <t xml:space="preserve">Singkong Goreng </t>
  </si>
  <si>
    <t>Singkong kukus</t>
  </si>
  <si>
    <t>Singkong tape</t>
  </si>
  <si>
    <t xml:space="preserve">Siomay </t>
  </si>
  <si>
    <t>Sirsak</t>
  </si>
  <si>
    <t>Sirup</t>
  </si>
  <si>
    <t>Sop buntut masakan</t>
  </si>
  <si>
    <t>Sop daging sapi masakan</t>
  </si>
  <si>
    <t>Sop kaki sapi masakan</t>
  </si>
  <si>
    <t>Sop kambing masakan</t>
  </si>
  <si>
    <t>Sop konro masakan</t>
  </si>
  <si>
    <t>Sop Kool</t>
  </si>
  <si>
    <t>Sop Kool dan Wortel</t>
  </si>
  <si>
    <t>Sop saudara masakan</t>
  </si>
  <si>
    <t>Soto bandung masakan</t>
  </si>
  <si>
    <t>Soto banjar masakan</t>
  </si>
  <si>
    <t>Soto betawi masakan</t>
  </si>
  <si>
    <t>Soto dengan Daging</t>
  </si>
  <si>
    <t>Soto jeroan masakan</t>
  </si>
  <si>
    <t>Soto kudus masakan</t>
  </si>
  <si>
    <t>Soto madura masakan</t>
  </si>
  <si>
    <t>Soto padang masakan</t>
  </si>
  <si>
    <t>Soto pekalongan masakan</t>
  </si>
  <si>
    <t>Soto pemalang masakan</t>
  </si>
  <si>
    <t>Soto sukaraja masakan</t>
  </si>
  <si>
    <t>Soto sulung masakan</t>
  </si>
  <si>
    <t xml:space="preserve">Soto tanpa Daging </t>
  </si>
  <si>
    <t>Spaghetti</t>
  </si>
  <si>
    <t>Srikaya</t>
  </si>
  <si>
    <t>Sukiyaki masakan</t>
  </si>
  <si>
    <t>Sukun muda segar</t>
  </si>
  <si>
    <t>Sukun tua segar</t>
  </si>
  <si>
    <t>Susu asam untuk bayi bubuk</t>
  </si>
  <si>
    <t>Susu bubuk</t>
  </si>
  <si>
    <t>Susu Kambing</t>
  </si>
  <si>
    <t>Susu Kedelai</t>
  </si>
  <si>
    <t>Susu Kental Manis</t>
  </si>
  <si>
    <t>Susu Kental Tak Manis</t>
  </si>
  <si>
    <t>Susu Kerbau</t>
  </si>
  <si>
    <t>Susu Sapi</t>
  </si>
  <si>
    <t>Susu Skim (tak berlemak)</t>
  </si>
  <si>
    <t>Susu skim bubuk</t>
  </si>
  <si>
    <t>Susu skim segar</t>
  </si>
  <si>
    <t>Susupan</t>
  </si>
  <si>
    <t>Suweg kukus</t>
  </si>
  <si>
    <t>Suweg mentah</t>
  </si>
  <si>
    <t>Suweg talas segar</t>
  </si>
  <si>
    <t>Suwir-suwir</t>
  </si>
  <si>
    <t>Tahu</t>
  </si>
  <si>
    <t>Tahu goreng</t>
  </si>
  <si>
    <t>Tahu telur</t>
  </si>
  <si>
    <t>Takwa</t>
  </si>
  <si>
    <t>Talas bogor kukus</t>
  </si>
  <si>
    <t>Talas pontianak segar</t>
  </si>
  <si>
    <t>Talas viqueque segar</t>
  </si>
  <si>
    <t>Tales kukus</t>
  </si>
  <si>
    <t>Tales mentah</t>
  </si>
  <si>
    <t>Taoco</t>
  </si>
  <si>
    <t>Taoge goreng</t>
  </si>
  <si>
    <t>Taoge kacang kedelai segar</t>
  </si>
  <si>
    <t>Taoge seduh</t>
  </si>
  <si>
    <t>Taoge segar</t>
  </si>
  <si>
    <t>Taokoa</t>
  </si>
  <si>
    <t>Tapai beras</t>
  </si>
  <si>
    <t>Tapai ketan hitam</t>
  </si>
  <si>
    <t>Tapai ketan putih</t>
  </si>
  <si>
    <t>Tapai singkong</t>
  </si>
  <si>
    <t>Tauco cap DAS cake</t>
  </si>
  <si>
    <t>Tauji cap singa</t>
  </si>
  <si>
    <t>Tebu Terubuk</t>
  </si>
  <si>
    <t>Tedong pallu basa masakan</t>
  </si>
  <si>
    <t>Teh</t>
  </si>
  <si>
    <t>Teh hijau daun kering</t>
  </si>
  <si>
    <t>Teh melati daun kering</t>
  </si>
  <si>
    <t>Tekokak</t>
  </si>
  <si>
    <t>Tekokak kering</t>
  </si>
  <si>
    <t>Tekwan</t>
  </si>
  <si>
    <t>Telur Ayam</t>
  </si>
  <si>
    <t>Telur Ayam bagian kuning</t>
  </si>
  <si>
    <t>Telur Ayam bagian putih</t>
  </si>
  <si>
    <t>Telur Ayam ceplok</t>
  </si>
  <si>
    <t>Telur Ayam dadar</t>
  </si>
  <si>
    <t xml:space="preserve">Telur ayam kampung </t>
  </si>
  <si>
    <t>Telur bebek bagian kuning segar</t>
  </si>
  <si>
    <t>Telur Bebek bagian putih</t>
  </si>
  <si>
    <t>Telur bebek bagian putih segar</t>
  </si>
  <si>
    <t>Telur Bebek ceplok</t>
  </si>
  <si>
    <t>Telur Bebek dadar</t>
  </si>
  <si>
    <t>Telur bebek tambak segar</t>
  </si>
  <si>
    <t>Telur Bebek telur asin</t>
  </si>
  <si>
    <t>Telur burung puyuh segar</t>
  </si>
  <si>
    <t>Telur Penyu</t>
  </si>
  <si>
    <t>Telur Terubuk</t>
  </si>
  <si>
    <t>Tempe bongkrek</t>
  </si>
  <si>
    <t>Tempe Gembus</t>
  </si>
  <si>
    <t>Tempe gembus yogya</t>
  </si>
  <si>
    <t xml:space="preserve">Tempe Goreng </t>
  </si>
  <si>
    <t>Tempe kacang babi</t>
  </si>
  <si>
    <t>Tempe kacang belimbing</t>
  </si>
  <si>
    <t>Tempe kedelai + jagung</t>
  </si>
  <si>
    <t>Tempe kedelai murni goreng</t>
  </si>
  <si>
    <t>Tempe kedelai murni mentah</t>
  </si>
  <si>
    <t>Tempe koro benguk</t>
  </si>
  <si>
    <t>Tempe lamtoro var. gung dengan kulit</t>
  </si>
  <si>
    <t>Tempe lamtoro var. gung tanpa kulit</t>
  </si>
  <si>
    <t>Tempe pasar segar</t>
  </si>
  <si>
    <t>Tempe pasar goreng</t>
  </si>
  <si>
    <t xml:space="preserve">Tempe Sayur </t>
  </si>
  <si>
    <t>Tempoya</t>
  </si>
  <si>
    <t>Tempuyak</t>
  </si>
  <si>
    <t>Tepung Arrowroot</t>
  </si>
  <si>
    <t>Tepung Beras</t>
  </si>
  <si>
    <t>Tepung beras mentah</t>
  </si>
  <si>
    <t>Tepung Ganyong</t>
  </si>
  <si>
    <t>Tepung Gaplek</t>
  </si>
  <si>
    <t>Tepung Garut (arrowroot)</t>
  </si>
  <si>
    <t>Tepung Hunkwee</t>
  </si>
  <si>
    <t>Tepung Ikan</t>
  </si>
  <si>
    <t>Tepung Jagung Kuning</t>
  </si>
  <si>
    <t>Tepung jagung putih</t>
  </si>
  <si>
    <t>Tepung Jalejo</t>
  </si>
  <si>
    <t>Tepung Kacang Kedelai</t>
  </si>
  <si>
    <t>Tepung Kentang</t>
  </si>
  <si>
    <t>Tepung Mocaf</t>
  </si>
  <si>
    <t>Tepung Pisang</t>
  </si>
  <si>
    <t>Tepung Sagu</t>
  </si>
  <si>
    <t>Tepung Sente</t>
  </si>
  <si>
    <t>Tepung singkong/ Tapioka</t>
  </si>
  <si>
    <t>Tepung Sukun</t>
  </si>
  <si>
    <t>Tepung Susu</t>
  </si>
  <si>
    <t>Tepung Susu Asam untuk bayi</t>
  </si>
  <si>
    <t>Tepung Susu Skim</t>
  </si>
  <si>
    <t>Tepung Tales Beneng</t>
  </si>
  <si>
    <t>Tepung Terigu</t>
  </si>
  <si>
    <t>Tepung Ubi Ungu</t>
  </si>
  <si>
    <t>Terasi</t>
  </si>
  <si>
    <t>Terasi dobo</t>
  </si>
  <si>
    <t>Terasi Merah</t>
  </si>
  <si>
    <t>Terasi merah</t>
  </si>
  <si>
    <t>Teri balado masakan</t>
  </si>
  <si>
    <t>Teripang dendeng mentah</t>
  </si>
  <si>
    <t>Terong</t>
  </si>
  <si>
    <t>Terong + Oncom makanan</t>
  </si>
  <si>
    <t>Terong Asam</t>
  </si>
  <si>
    <t>Terong Belanda</t>
  </si>
  <si>
    <t>Terong hintalo segar</t>
  </si>
  <si>
    <t>Terong kukus</t>
  </si>
  <si>
    <t>Terong segar</t>
  </si>
  <si>
    <t>Terung belanda segar</t>
  </si>
  <si>
    <t>Terung bengkulu segar</t>
  </si>
  <si>
    <t>Terung panjang</t>
  </si>
  <si>
    <t>Terung panjang kukus</t>
  </si>
  <si>
    <t>Tespong daun</t>
  </si>
  <si>
    <t>Tim (nasi tim)</t>
  </si>
  <si>
    <t>Tinira ninahu nggaluku</t>
  </si>
  <si>
    <t>Tinoransak masakan</t>
  </si>
  <si>
    <t>Tipa-tipa</t>
  </si>
  <si>
    <t xml:space="preserve">Tiwul  </t>
  </si>
  <si>
    <t>Tiwul Instan</t>
  </si>
  <si>
    <t>Toge -Tahu makanan</t>
  </si>
  <si>
    <t xml:space="preserve">Toge Goreng </t>
  </si>
  <si>
    <t>Toge kacang ijo</t>
  </si>
  <si>
    <t>Toge kacang tunggak</t>
  </si>
  <si>
    <t>Toge kedelai</t>
  </si>
  <si>
    <t>Toge seduh</t>
  </si>
  <si>
    <t>Tomat air (juice) segar</t>
  </si>
  <si>
    <t>Tomat Masak</t>
  </si>
  <si>
    <t>Tomat merah segar</t>
  </si>
  <si>
    <t>Tomat muda segar</t>
  </si>
  <si>
    <t>Tumis bandeng</t>
  </si>
  <si>
    <t>Tumis bayam bersantan</t>
  </si>
  <si>
    <t>Ubi Cilembu</t>
  </si>
  <si>
    <t xml:space="preserve">Ubi Jalar Goreng </t>
  </si>
  <si>
    <t>Ubi jalar kuning kukus</t>
  </si>
  <si>
    <t>Ubi jalar kuning segar</t>
  </si>
  <si>
    <t>Ubi jalar manis segar</t>
  </si>
  <si>
    <t>Ubi Jalar Merah</t>
  </si>
  <si>
    <t>Ubi jalar merah segar</t>
  </si>
  <si>
    <t>Ubi Jalar Putih</t>
  </si>
  <si>
    <t>Ubi Jalar Rebus</t>
  </si>
  <si>
    <t>Ubi Jalar Sayur</t>
  </si>
  <si>
    <t>Ubi jalar tinta/ kemayung</t>
  </si>
  <si>
    <t>Ubi jalar tinta/ kemayung kukus</t>
  </si>
  <si>
    <t>Uceng/ bunga melinjo segar</t>
  </si>
  <si>
    <t>Udang besar segar</t>
  </si>
  <si>
    <t>Udang galah segar</t>
  </si>
  <si>
    <t>Udang kering</t>
  </si>
  <si>
    <t>Udang kering mentah</t>
  </si>
  <si>
    <t>Udang papay mentah</t>
  </si>
  <si>
    <t>Udang segar</t>
  </si>
  <si>
    <t>Ulat sagu panggang</t>
  </si>
  <si>
    <t>Ulat sagu segar</t>
  </si>
  <si>
    <t>Umbi Uwi segar</t>
  </si>
  <si>
    <t>Umbut rotan</t>
  </si>
  <si>
    <t>Usus Sapi</t>
  </si>
  <si>
    <t>Uwi</t>
  </si>
  <si>
    <t>Vermicelli</t>
  </si>
  <si>
    <t>Wajit camilan</t>
  </si>
  <si>
    <t>Waluh balamak</t>
  </si>
  <si>
    <t>Widaran</t>
  </si>
  <si>
    <t>Wijen</t>
  </si>
  <si>
    <t>Wingko babat</t>
  </si>
  <si>
    <t>Woku ubi</t>
  </si>
  <si>
    <t>Worst (sosis daging)</t>
  </si>
  <si>
    <t>Wortel Segar</t>
  </si>
  <si>
    <t>Wortel kukus</t>
  </si>
  <si>
    <t>Wortel rebus</t>
  </si>
  <si>
    <t>Yangko</t>
  </si>
  <si>
    <t>Yoghurt</t>
  </si>
  <si>
    <t>Kategori Kalori</t>
  </si>
  <si>
    <t>RINGKASAN STATISTIK</t>
  </si>
  <si>
    <t>Rata-rata Kalori Keseluruhan</t>
  </si>
  <si>
    <t>Kandungan Protein Tertinggi</t>
  </si>
  <si>
    <t>Mencari Nama Makanan dengan Protein Tertinggi</t>
  </si>
  <si>
    <t>Jumlah Makanan Kategori "Tinggi Kalori"</t>
  </si>
  <si>
    <t>Row Labels</t>
  </si>
  <si>
    <t>Grand Total</t>
  </si>
  <si>
    <t>Max. of proteins</t>
  </si>
  <si>
    <t>Kalori Sedang</t>
  </si>
  <si>
    <t>Rendah Kalori</t>
  </si>
  <si>
    <t>Tinggi Kalori</t>
  </si>
  <si>
    <t>Average of proteins</t>
  </si>
  <si>
    <t>Average of fat</t>
  </si>
  <si>
    <t>Average of carbohydrate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</si>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</sst>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0" fillId="4" borderId="13" xfId="0" applyFont="1" applyFill="1" applyBorder="1"/>
    <xf numFmtId="0" fontId="0" fillId="4" borderId="14" xfId="0" applyFont="1" applyFill="1" applyBorder="1"/>
    <xf numFmtId="0" fontId="0" fillId="4" borderId="14" xfId="0" applyNumberFormat="1" applyFont="1" applyFill="1" applyBorder="1"/>
    <xf numFmtId="0" fontId="0" fillId="4" borderId="15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4" xfId="0" applyNumberFormat="1" applyFont="1" applyBorder="1"/>
    <xf numFmtId="0" fontId="0" fillId="0" borderId="15" xfId="0" applyFont="1" applyBorder="1"/>
    <xf numFmtId="0" fontId="0" fillId="0" borderId="11" xfId="0" applyNumberFormat="1" applyFont="1" applyBorder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Interaktif Pemetaan Nutrisi dan Kategori Kalori Bahan Makanan.xlsx]Dashboard!PivotTable1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Top 10 Makanan dengan Protein Tertinggi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Dashboard!$B$16:$B$26</c:f>
              <c:strCache>
                <c:ptCount val="10"/>
                <c:pt idx="0">
                  <c:v>Tepung Ikan</c:v>
                </c:pt>
                <c:pt idx="1">
                  <c:v>Ikan tepung mentah</c:v>
                </c:pt>
                <c:pt idx="2">
                  <c:v>Ikan sale lais mentah</c:v>
                </c:pt>
                <c:pt idx="3">
                  <c:v>Udang kering</c:v>
                </c:pt>
                <c:pt idx="4">
                  <c:v>Udang kering mentah</c:v>
                </c:pt>
                <c:pt idx="5">
                  <c:v>Ikan Mujair dendeng mentah</c:v>
                </c:pt>
                <c:pt idx="6">
                  <c:v>Ikan Teri Kering tawar</c:v>
                </c:pt>
                <c:pt idx="7">
                  <c:v>Ikan kayu kering</c:v>
                </c:pt>
                <c:pt idx="8">
                  <c:v>Ikan Mujair dendeng goreng</c:v>
                </c:pt>
                <c:pt idx="9">
                  <c:v>Dendeng mujahir goreng</c:v>
                </c:pt>
              </c:strCache>
            </c:strRef>
          </c:cat>
          <c:val>
            <c:numRef>
              <c:f>Dashboard!$C$16:$C$26</c:f>
              <c:numCache>
                <c:formatCode>General</c:formatCode>
                <c:ptCount val="10"/>
                <c:pt idx="0">
                  <c:v>601</c:v>
                </c:pt>
                <c:pt idx="1">
                  <c:v>601</c:v>
                </c:pt>
                <c:pt idx="2">
                  <c:v>613</c:v>
                </c:pt>
                <c:pt idx="3">
                  <c:v>624</c:v>
                </c:pt>
                <c:pt idx="4">
                  <c:v>626</c:v>
                </c:pt>
                <c:pt idx="5">
                  <c:v>683</c:v>
                </c:pt>
                <c:pt idx="6">
                  <c:v>687</c:v>
                </c:pt>
                <c:pt idx="7">
                  <c:v>707</c:v>
                </c:pt>
                <c:pt idx="8">
                  <c:v>743</c:v>
                </c:pt>
                <c:pt idx="9">
                  <c:v>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A-4112-9018-B4DE5A3E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419376"/>
        <c:axId val="997424176"/>
      </c:barChart>
      <c:catAx>
        <c:axId val="99741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24176"/>
        <c:crosses val="autoZero"/>
        <c:auto val="1"/>
        <c:lblAlgn val="ctr"/>
        <c:lblOffset val="100"/>
        <c:noMultiLvlLbl val="0"/>
      </c:catAx>
      <c:valAx>
        <c:axId val="9974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Interaktif Pemetaan Nutrisi dan Kategori Kalori Bahan Makanan.xlsx]Dashboard!PivotTable2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Proporsi Makanan Berdasarkan Kategori Kalori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Dashboard!$C$37</c:f>
              <c:strCache>
                <c:ptCount val="1"/>
                <c:pt idx="0">
                  <c:v>Average of proteins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D3-4926-909B-7BBA49D93D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D3-4926-909B-7BBA49D93D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D3-4926-909B-7BBA49D93DE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Dashboard!$B$38:$B$41</c:f>
              <c:strCache>
                <c:ptCount val="3"/>
                <c:pt idx="0">
                  <c:v>Kalori Sedang</c:v>
                </c:pt>
                <c:pt idx="1">
                  <c:v>Rendah Kalori</c:v>
                </c:pt>
                <c:pt idx="2">
                  <c:v>Tinggi Kalori</c:v>
                </c:pt>
              </c:strCache>
            </c:strRef>
          </c:cat>
          <c:val>
            <c:numRef>
              <c:f>Dashboard!$C$38:$C$41</c:f>
              <c:numCache>
                <c:formatCode>0.0</c:formatCode>
                <c:ptCount val="3"/>
                <c:pt idx="0">
                  <c:v>88.349680170575695</c:v>
                </c:pt>
                <c:pt idx="1">
                  <c:v>34.815053763440858</c:v>
                </c:pt>
                <c:pt idx="2">
                  <c:v>119.80825242718447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A22-8EF2-2DFCEC7ADDB2}"/>
            </c:ext>
          </c:extLst>
        </c:ser>
        <c:ser>
          <c:idx val="1"/>
          <c:order val="1"/>
          <c:tx>
            <c:strRef>
              <c:f>Dashboard!$D$37</c:f>
              <c:strCache>
                <c:ptCount val="1"/>
                <c:pt idx="0">
                  <c:v>Average of fat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D3-4926-909B-7BBA49D93D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D3-4926-909B-7BBA49D93D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D3-4926-909B-7BBA49D93DE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Dashboard!$B$38:$B$41</c:f>
              <c:strCache>
                <c:ptCount val="3"/>
                <c:pt idx="0">
                  <c:v>Kalori Sedang</c:v>
                </c:pt>
                <c:pt idx="1">
                  <c:v>Rendah Kalori</c:v>
                </c:pt>
                <c:pt idx="2">
                  <c:v>Tinggi Kalori</c:v>
                </c:pt>
              </c:strCache>
            </c:strRef>
          </c:cat>
          <c:val>
            <c:numRef>
              <c:f>Dashboard!$D$38:$D$41</c:f>
              <c:numCache>
                <c:formatCode>0.0</c:formatCode>
                <c:ptCount val="3"/>
                <c:pt idx="0">
                  <c:v>42.441364605543711</c:v>
                </c:pt>
                <c:pt idx="1">
                  <c:v>9.1999999999999993</c:v>
                </c:pt>
                <c:pt idx="2">
                  <c:v>124.54368932038835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A22-8EF2-2DFCEC7ADDB2}"/>
            </c:ext>
          </c:extLst>
        </c:ser>
        <c:ser>
          <c:idx val="2"/>
          <c:order val="2"/>
          <c:tx>
            <c:strRef>
              <c:f>Dashboard!$E$37</c:f>
              <c:strCache>
                <c:ptCount val="1"/>
                <c:pt idx="0">
                  <c:v>Average of carbohydrate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D3-4926-909B-7BBA49D93D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D3-4926-909B-7BBA49D93D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D3-4926-909B-7BBA49D93DE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Dashboard!$B$38:$B$41</c:f>
              <c:strCache>
                <c:ptCount val="3"/>
                <c:pt idx="0">
                  <c:v>Kalori Sedang</c:v>
                </c:pt>
                <c:pt idx="1">
                  <c:v>Rendah Kalori</c:v>
                </c:pt>
                <c:pt idx="2">
                  <c:v>Tinggi Kalori</c:v>
                </c:pt>
              </c:strCache>
            </c:strRef>
          </c:cat>
          <c:val>
            <c:numRef>
              <c:f>Dashboard!$E$38:$E$41</c:f>
              <c:numCache>
                <c:formatCode>0.0</c:formatCode>
                <c:ptCount val="3"/>
                <c:pt idx="0">
                  <c:v>176.45415778251598</c:v>
                </c:pt>
                <c:pt idx="1">
                  <c:v>72.546236559139786</c:v>
                </c:pt>
                <c:pt idx="2">
                  <c:v>405.02184466019418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0-4A22-8EF2-2DFCEC7AD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</xdr:row>
      <xdr:rowOff>95250</xdr:rowOff>
    </xdr:from>
    <xdr:to>
      <xdr:col>7</xdr:col>
      <xdr:colOff>350520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4D0E6-4924-F31C-E875-6660D61DF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492955</xdr:colOff>
      <xdr:row>42</xdr:row>
      <xdr:rowOff>47772</xdr:rowOff>
    </xdr:from>
    <xdr:to>
      <xdr:col>4</xdr:col>
      <xdr:colOff>1530448</xdr:colOff>
      <xdr:row>57</xdr:row>
      <xdr:rowOff>47771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2F1F0-B333-8841-FC71-0256BC23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Book Hype AMD" refreshedDate="46187.57594560185" createdVersion="8" refreshedVersion="8" minRefreshableVersion="3" recordCount="1346" xr:uid="{1CB7CCDE-AC62-4305-9E1D-7442B27C3189}">
  <cacheSource type="worksheet">
    <worksheetSource ref="A1:G1347" sheet="nutrition"/>
  </cacheSource>
  <cacheFields count="7">
    <cacheField name="id" numFmtId="0">
      <sharedItems containsSemiMixedTypes="0" containsString="0" containsNumber="1" containsInteger="1" minValue="1" maxValue="1346"/>
    </cacheField>
    <cacheField name="calories" numFmtId="0">
      <sharedItems containsSemiMixedTypes="0" containsString="0" containsNumber="1" containsInteger="1" minValue="0" maxValue="3933"/>
    </cacheField>
    <cacheField name="proteins" numFmtId="0">
      <sharedItems containsSemiMixedTypes="0" containsString="0" containsNumber="1" containsInteger="1" minValue="0" maxValue="743"/>
    </cacheField>
    <cacheField name="fat" numFmtId="0">
      <sharedItems containsSemiMixedTypes="0" containsString="0" containsNumber="1" containsInteger="1" minValue="0" maxValue="999"/>
    </cacheField>
    <cacheField name="carbohydrate" numFmtId="0">
      <sharedItems containsSemiMixedTypes="0" containsString="0" containsNumber="1" containsInteger="1" minValue="0" maxValue="1248" count="488">
        <n v="0"/>
        <n v="213"/>
        <n v="108"/>
        <n v="38"/>
        <n v="77"/>
        <n v="191"/>
        <n v="413"/>
        <n v="107"/>
        <n v="81"/>
        <n v="18"/>
        <n v="53"/>
        <n v="68"/>
        <n v="103"/>
        <n v="149"/>
        <n v="128"/>
        <n v="83"/>
        <n v="112"/>
        <n v="241"/>
        <n v="161"/>
        <n v="625"/>
        <n v="321"/>
        <n v="633"/>
        <n v="148"/>
        <n v="16"/>
        <n v="99"/>
        <n v="7"/>
        <n v="15"/>
        <n v="4"/>
        <n v="13"/>
        <n v="1"/>
        <n v="11"/>
        <n v="17"/>
        <n v="3"/>
        <n v="6"/>
        <n v="5"/>
        <n v="27"/>
        <n v="139"/>
        <n v="8"/>
        <n v="2"/>
        <n v="163"/>
        <n v="781"/>
        <n v="806"/>
        <n v="636"/>
        <n v="642"/>
        <n v="763"/>
        <n v="872"/>
        <n v="156"/>
        <n v="441"/>
        <n v="92"/>
        <n v="42"/>
        <n v="39"/>
        <n v="435"/>
        <n v="235"/>
        <n v="196"/>
        <n v="234"/>
        <n v="21"/>
        <n v="422"/>
        <n v="231"/>
        <n v="58"/>
        <n v="10"/>
        <n v="63"/>
        <n v="37"/>
        <n v="65"/>
        <n v="69"/>
        <n v="26"/>
        <n v="45"/>
        <n v="35"/>
        <n v="325"/>
        <n v="223"/>
        <n v="207"/>
        <n v="61"/>
        <n v="36"/>
        <n v="28"/>
        <n v="88"/>
        <n v="342"/>
        <n v="32"/>
        <n v="209"/>
        <n v="154"/>
        <n v="823"/>
        <n v="863"/>
        <n v="789"/>
        <n v="406"/>
        <n v="771"/>
        <n v="769"/>
        <n v="827"/>
        <n v="718"/>
        <n v="78"/>
        <n v="373"/>
        <n v="344"/>
        <n v="745"/>
        <n v="794"/>
        <n v="357"/>
        <n v="375"/>
        <n v="784"/>
        <n v="73"/>
        <n v="776"/>
        <n v="801"/>
        <n v="80"/>
        <n v="762"/>
        <n v="783"/>
        <n v="283"/>
        <n v="799"/>
        <n v="41"/>
        <n v="821"/>
        <n v="255"/>
        <n v="803"/>
        <n v="874"/>
        <n v="236"/>
        <n v="198"/>
        <n v="511"/>
        <n v="444"/>
        <n v="529"/>
        <n v="44"/>
        <n v="751"/>
        <n v="96"/>
        <n v="121"/>
        <n v="116"/>
        <n v="662"/>
        <n v="183"/>
        <n v="72"/>
        <n v="47"/>
        <n v="953"/>
        <n v="126"/>
        <n v="52"/>
        <n v="214"/>
        <n v="75"/>
        <n v="596"/>
        <n v="97"/>
        <n v="131"/>
        <n v="91"/>
        <n v="109"/>
        <n v="122"/>
        <n v="252"/>
        <n v="182"/>
        <n v="268"/>
        <n v="159"/>
        <n v="308"/>
        <n v="33"/>
        <n v="14"/>
        <n v="476"/>
        <n v="56"/>
        <n v="85"/>
        <n v="64"/>
        <n v="50"/>
        <n v="305"/>
        <n v="40"/>
        <n v="79"/>
        <n v="239"/>
        <n v="618"/>
        <n v="199"/>
        <n v="34"/>
        <n v="102"/>
        <n v="501"/>
        <n v="87"/>
        <n v="172"/>
        <n v="286"/>
        <n v="574"/>
        <n v="677"/>
        <n v="228"/>
        <n v="489"/>
        <n v="627"/>
        <n v="292"/>
        <n v="536"/>
        <n v="358"/>
        <n v="9"/>
        <n v="94"/>
        <n v="162"/>
        <n v="153"/>
        <n v="134"/>
        <n v="143"/>
        <n v="89"/>
        <n v="66"/>
        <n v="23"/>
        <n v="144"/>
        <n v="158"/>
        <n v="74"/>
        <n v="118"/>
        <n v="115"/>
        <n v="388"/>
        <n v="31"/>
        <n v="179"/>
        <n v="84"/>
        <n v="119"/>
        <n v="124"/>
        <n v="49"/>
        <n v="105"/>
        <n v="76"/>
        <n v="152"/>
        <n v="71"/>
        <n v="48"/>
        <n v="59"/>
        <n v="135"/>
        <n v="123"/>
        <n v="104"/>
        <n v="111"/>
        <n v="82"/>
        <n v="409"/>
        <n v="812"/>
        <n v="659"/>
        <n v="70"/>
        <n v="761"/>
        <n v="638"/>
        <n v="519"/>
        <n v="395"/>
        <n v="254"/>
        <n v="101"/>
        <n v="715"/>
        <n v="853"/>
        <n v="607"/>
        <n v="175"/>
        <n v="526"/>
        <n v="368"/>
        <n v="189"/>
        <n v="206"/>
        <n v="327"/>
        <n v="376"/>
        <n v="113"/>
        <n v="193"/>
        <n v="766"/>
        <n v="232"/>
        <n v="238"/>
        <n v="226"/>
        <n v="184"/>
        <n v="813"/>
        <n v="397"/>
        <n v="838"/>
        <n v="224"/>
        <n v="313"/>
        <n v="555"/>
        <n v="577"/>
        <n v="743"/>
        <n v="341"/>
        <n v="474"/>
        <n v="95"/>
        <n v="906"/>
        <n v="25"/>
        <n v="62"/>
        <n v="127"/>
        <n v="485"/>
        <n v="682"/>
        <n v="295"/>
        <n v="22"/>
        <n v="19"/>
        <n v="55"/>
        <n v="46"/>
        <n v="219"/>
        <n v="67"/>
        <n v="202"/>
        <n v="54"/>
        <n v="372"/>
        <n v="43"/>
        <n v="29"/>
        <n v="146"/>
        <n v="623"/>
        <n v="333"/>
        <n v="724"/>
        <n v="303"/>
        <n v="691"/>
        <n v="737"/>
        <n v="284"/>
        <n v="331"/>
        <n v="315"/>
        <n v="201"/>
        <n v="791"/>
        <n v="645"/>
        <n v="142"/>
        <n v="782"/>
        <n v="646"/>
        <n v="165"/>
        <n v="673"/>
        <n v="734"/>
        <n v="658"/>
        <n v="407"/>
        <n v="141"/>
        <n v="322"/>
        <n v="354"/>
        <n v="616"/>
        <n v="602"/>
        <n v="288"/>
        <n v="513"/>
        <n v="129"/>
        <n v="216"/>
        <n v="589"/>
        <n v="271"/>
        <n v="274"/>
        <n v="595"/>
        <n v="208"/>
        <n v="275"/>
        <n v="568"/>
        <n v="707"/>
        <n v="661"/>
        <n v="629"/>
        <n v="655"/>
        <n v="177"/>
        <n v="301"/>
        <n v="229"/>
        <n v="249"/>
        <n v="558"/>
        <n v="666"/>
        <n v="669"/>
        <n v="562"/>
        <n v="282"/>
        <n v="247"/>
        <n v="632"/>
        <n v="287"/>
        <n v="585"/>
        <n v="174"/>
        <n v="443"/>
        <n v="1248"/>
        <n v="566"/>
        <n v="597"/>
        <n v="729"/>
        <n v="606"/>
        <n v="693"/>
        <n v="298"/>
        <n v="114"/>
        <n v="326"/>
        <n v="278"/>
        <n v="197"/>
        <n v="546"/>
        <n v="365"/>
        <n v="402"/>
        <n v="272"/>
        <n v="233"/>
        <n v="137"/>
        <n v="337"/>
        <n v="294"/>
        <n v="256"/>
        <n v="644"/>
        <n v="502"/>
        <n v="671"/>
        <n v="697"/>
        <n v="426"/>
        <n v="736"/>
        <n v="417"/>
        <n v="524"/>
        <n v="676"/>
        <n v="859"/>
        <n v="713"/>
        <n v="656"/>
        <n v="785"/>
        <n v="571"/>
        <n v="657"/>
        <n v="591"/>
        <n v="332"/>
        <n v="685"/>
        <n v="12"/>
        <n v="20"/>
        <n v="379"/>
        <n v="364"/>
        <n v="542"/>
        <n v="386"/>
        <n v="186"/>
        <n v="212"/>
        <n v="221"/>
        <n v="694"/>
        <n v="775"/>
        <n v="822"/>
        <n v="735"/>
        <n v="396"/>
        <n v="846"/>
        <n v="475"/>
        <n v="404"/>
        <n v="573"/>
        <n v="664"/>
        <n v="549"/>
        <n v="532"/>
        <n v="793"/>
        <n v="248"/>
        <n v="604"/>
        <n v="495"/>
        <n v="138"/>
        <n v="262"/>
        <n v="204"/>
        <n v="804"/>
        <n v="849"/>
        <n v="434"/>
        <n v="637"/>
        <n v="398"/>
        <n v="51"/>
        <n v="345"/>
        <n v="795"/>
        <n v="787"/>
        <n v="167"/>
        <n v="187"/>
        <n v="151"/>
        <n v="496"/>
        <n v="237"/>
        <n v="493"/>
        <n v="243"/>
        <n v="741"/>
        <n v="211"/>
        <n v="133"/>
        <n v="227"/>
        <n v="181"/>
        <n v="164"/>
        <n v="178"/>
        <n v="624"/>
        <n v="465"/>
        <n v="367"/>
        <n v="276"/>
        <n v="244"/>
        <n v="302"/>
        <n v="371"/>
        <n v="117"/>
        <n v="403"/>
        <n v="136"/>
        <n v="132"/>
        <n v="106"/>
        <n v="831"/>
        <n v="401"/>
        <n v="424"/>
        <n v="869"/>
        <n v="316"/>
        <n v="266"/>
        <n v="391"/>
        <n v="334"/>
        <n v="24"/>
        <n v="593"/>
        <n v="647"/>
        <n v="258"/>
        <n v="311"/>
        <n v="279"/>
        <n v="289"/>
        <n v="263"/>
        <n v="225"/>
        <n v="336"/>
        <n v="318"/>
        <n v="355"/>
        <n v="205"/>
        <n v="267"/>
        <n v="438"/>
        <n v="857"/>
        <n v="508"/>
        <n v="641"/>
        <n v="705"/>
        <n v="433"/>
        <n v="755"/>
        <n v="497"/>
        <n v="319"/>
        <n v="856"/>
        <n v="634"/>
        <n v="565"/>
        <n v="768"/>
        <n v="852"/>
        <n v="905"/>
        <n v="689"/>
        <n v="556"/>
        <n v="245"/>
        <n v="192"/>
        <n v="145"/>
        <n v="329"/>
        <n v="98"/>
        <n v="125"/>
        <n v="847"/>
        <n v="692"/>
        <n v="347"/>
        <n v="425"/>
        <n v="352"/>
        <n v="281"/>
        <n v="362"/>
        <n v="157"/>
        <n v="842"/>
        <n v="246"/>
        <n v="259"/>
        <n v="704"/>
        <n v="678"/>
        <n v="726"/>
        <n v="257"/>
        <n v="836"/>
        <n v="882"/>
        <n v="835"/>
        <n v="612"/>
        <n v="299"/>
        <n v="767"/>
        <n v="844"/>
        <n v="773"/>
        <n v="86"/>
        <n v="798"/>
        <n v="834"/>
        <n v="765"/>
        <n v="553"/>
        <n v="251"/>
        <n v="188"/>
        <n v="807"/>
        <n v="514"/>
        <n v="93"/>
        <n v="581"/>
      </sharedItems>
    </cacheField>
    <cacheField name="name" numFmtId="0">
      <sharedItems count="1344">
        <s v="Abon"/>
        <s v="Abon haruwan"/>
        <s v="Agar-agar"/>
        <s v="Akar tonjong segar"/>
        <s v="Aletoge segar"/>
        <s v="Alpukat segar"/>
        <s v="Ampas kacang hijau"/>
        <s v="Ampas Tahu"/>
        <s v="Ampas tahu kukus"/>
        <s v="Ampas tahu mentah"/>
        <s v="Anak sapi daging gemuk segar"/>
        <s v="Anak sapi daging kurus segar"/>
        <s v="Anak sapi daging sedang segar"/>
        <s v="Andaliman segar"/>
        <s v="Andewi"/>
        <s v="Anggur hutan segar"/>
        <s v="Angsa"/>
        <s v="Anyang sayur"/>
        <s v="Apel"/>
        <s v="Apel malang segar"/>
        <s v="Arbei"/>
        <s v="Ares sayur"/>
        <s v="Arrowroot segar"/>
        <s v="Arwan sirsir"/>
        <s v="Asam kandis segar"/>
        <s v="Asam masak di pohon"/>
        <s v="Asam payak segar"/>
        <s v="Asan kandis kering"/>
        <s v="Asinan Bogor sayuran"/>
        <s v="Ayam"/>
        <s v="Ayam  goreng Kentuckysayap"/>
        <s v="Ayam ampela goreng"/>
        <s v="Ayam dideh/darah segar"/>
        <s v="Ayam goreng church texa sayap"/>
        <s v="Ayam goreng church texas dada"/>
        <s v="Ayam goreng kalasan paha"/>
        <s v="Ayam goreng kentucky dada"/>
        <s v="Ayam goreng Kentucky paha"/>
        <s v="Ayam goreng mbok berek dada"/>
        <s v="Ayam goreng paha"/>
        <s v="Ayam goreng pasundan dada"/>
        <s v="Ayam goreng pasundan paha"/>
        <s v="Ayam goreng pioneer dada"/>
        <s v="Ayam goreng sukabumi dada"/>
        <s v="Ayam goreng sukabumi paha"/>
        <s v="Ayam hati segar"/>
        <s v="Ayam taliwang masakan"/>
        <s v="Ayam usus goreng"/>
        <s v="Babat"/>
        <s v="Babi daging gemuk segar"/>
        <s v="Babi daging kurus segar"/>
        <s v="Babi ginjal segar"/>
        <s v="Babi hati segar"/>
        <s v="Babi hutan masak rica masakan"/>
        <s v="Bacang"/>
        <s v="Bagea kelapa asin"/>
        <s v="Bagea kelapa manis"/>
        <s v="Bagea kenari asin"/>
        <s v="Bagea kenari manis"/>
        <s v="Bagea kw 1"/>
        <s v="Bagea kw 2"/>
        <s v="Baje"/>
        <s v="Bakpia kue"/>
        <s v="Bakso "/>
        <s v="Bakung segar"/>
        <s v="Bakwan"/>
        <s v="Baligo"/>
        <s v="Bantal"/>
        <s v="Barongko"/>
        <s v="Batang Tading"/>
        <s v="Batar daan"/>
        <s v="Batatas gembili segar"/>
        <s v="Batatas kelapa ubi bakar"/>
        <s v="Batatas kelapa ubi kukus"/>
        <s v="Batatas kelapa ubi segar"/>
        <s v="Batatas tali ubi rebus"/>
        <s v="Bawang Bombay"/>
        <s v="Bawang Merah"/>
        <s v="Bawang Putih"/>
        <s v="Bayam kukus"/>
        <s v="Bayam Merah"/>
        <s v="Bayam merah segar"/>
        <s v="Bayam rebus"/>
        <s v="Bayam segar"/>
        <s v="Bayam tumis + oncom"/>
        <s v="Bayam tumis bersantan"/>
        <s v="Bebek (itik)"/>
        <s v="Bebek alabio daging segar"/>
        <s v="Bebek daging goreng"/>
        <s v="Beberuk"/>
        <s v="Beef burger"/>
        <s v="Beef teriyaki masakan"/>
        <s v="Beef yakiniku masakan"/>
        <s v="Bekasam"/>
        <s v="Bekasang"/>
        <s v="Belibis daging segar"/>
        <s v="Belimbing"/>
        <s v="Belitung talas kukus"/>
        <s v="Belut goreng"/>
        <s v="Belut segar"/>
        <s v="Belutlaut segar"/>
        <s v="Bengkuang"/>
        <s v="Bentul (Komba)  talas segar"/>
        <s v="Bentul talas kukus"/>
        <s v="Beras Cerdas"/>
        <s v="Beras ganyong"/>
        <s v="Beras Giling"/>
        <s v="Beras Giling masak (nasi) "/>
        <s v="Beras giling mentah"/>
        <s v="Beras giling var pelita mentah"/>
        <s v="Beras giling var rojolele mentah"/>
        <s v="Beras hitam mentah"/>
        <s v="Beras jagung kuning kering mentah"/>
        <s v="Beras jagung putih kering mentah"/>
        <s v="Beras Ketan Hitam"/>
        <s v="Beras Ketan Hitam kukus"/>
        <s v="Beras Ketan Hitam tape"/>
        <s v="Beras Ketan Hitam tumbuk"/>
        <s v="Beras ketan hitam tumbuk mentah"/>
        <s v="Beras Ketan Putih"/>
        <s v="Beras Ketan Putih kukus"/>
        <s v="Beras Ketan Putih tape"/>
        <s v="Beras Ketan Putih tumbuk"/>
        <s v="Beras ketan putih tumbuk mentah"/>
        <s v="Beras ladang mentah"/>
        <s v="Beras Menir"/>
        <s v="Beras menir mentah"/>
        <s v="Beras Merah tumbuk"/>
        <s v="Beras Parboiled"/>
        <s v="Beras Pecah Kulit"/>
        <s v="Beras Setengah Giling"/>
        <s v="Beras Siger"/>
        <s v="Beras tumbuk mentah"/>
        <s v="Beras tumbuk merah mentah"/>
        <s v="Betok wadi masakan"/>
        <s v="Bihun"/>
        <s v="Bihun Goreng "/>
        <s v="Bihun goreng instan"/>
        <s v="Bihun Jagung mentah"/>
        <s v="Bihun mentah"/>
        <s v="Biji Jambu Mete"/>
        <s v="Biji Jambu Mete goreng"/>
        <s v="Biji nangka/Biji salak"/>
        <s v="Bika ambon"/>
        <s v="Bika Ambon "/>
        <s v="Bir (4% alkohol)"/>
        <s v="Biskuit"/>
        <s v="Bit"/>
        <s v="Biwah segar"/>
        <s v="Bonggol Pisang"/>
        <s v="Bonggol Pisang kering"/>
        <s v="Bongkrek (tempe bungkil)"/>
        <s v="Boros Kunci"/>
        <s v="Boros Laja (lengkuas)"/>
        <s v="Botok lamtoro"/>
        <s v="Brem"/>
        <s v="Brondong "/>
        <s v="Brongkos"/>
        <s v="Buah Atung"/>
        <s v="Buah kelenting segar"/>
        <s v="Buah kelor"/>
        <s v="Buah kom segar"/>
        <s v="Buah Mentega (bisbul)"/>
        <s v="Buah merah"/>
        <s v="Buah Naga Merah segar"/>
        <s v="Buah Naga Putih segar"/>
        <s v="Buah negri segar"/>
        <s v="Buah Nona"/>
        <s v="Buah rotan segar"/>
        <s v="Buah rukam segar"/>
        <s v="Buah ruruhi segar"/>
        <s v="Buah tuppa segar"/>
        <s v="Buaya daging dendeng mentah"/>
        <s v="Bubur "/>
        <s v="Bubur sagu"/>
        <s v="Bubur tinotuan (Manado)"/>
        <s v="Bulgogi masakan"/>
        <s v="Bulung Jajan"/>
        <s v="Bulung Sangu"/>
        <s v="Buncis"/>
        <s v="Buncis asam"/>
        <s v="Buncis rebus"/>
        <s v="Bunga pepaya segar"/>
        <s v="Bunga turi segar"/>
        <s v="Bungkil Biji Karet"/>
        <s v="Bungkil Kacang Tanah"/>
        <s v="Bungkil Kelapa"/>
        <s v="Buntil "/>
        <s v="Buntil daun talas"/>
        <s v="Buras "/>
        <s v="Burung sarang segar"/>
        <s v="Cabai gembor merah segar"/>
        <s v="Cabai hijau segar"/>
        <s v="Cabai merah kering"/>
        <s v="Cabai merah segar"/>
        <s v="Cabai rawit segar"/>
        <s v="Caisin segar"/>
        <s v="Cakalang asar (asap papua)"/>
        <s v="Cake tape"/>
        <s v="Cammetutu"/>
        <s v="Cantel mentah"/>
        <s v="Cap cai sayur"/>
        <s v="Carica papaya segar"/>
        <s v="Cassavastick"/>
        <s v="Cempedak"/>
        <s v="Cengkeh kering"/>
        <s v="Centel"/>
        <s v="Ceriping getuk singkong"/>
        <s v="Chicken teriyaki masakan"/>
        <s v="Chikiniku masakan"/>
        <s v="Coklat bubuk"/>
        <s v="Coklat Manis batang"/>
        <s v="Coklat Pahit batang"/>
        <s v="Coklat Susu batang"/>
        <s v="Combro "/>
        <s v="Corned Beef"/>
        <s v="Coto mangkasara kuda masakan"/>
        <s v="Coto mangkasara sapi masakan"/>
        <s v="Cue Selar Kuning"/>
        <s v="Cuka"/>
        <s v="Cumi-cumi goreng"/>
        <s v="Cumi-cumi segar"/>
        <s v="Daging Anak Sapi"/>
        <s v="Daging Asap"/>
        <s v="Daging Babi Gemuk"/>
        <s v="Daging Babi Kurus"/>
        <s v="Daging Domba"/>
        <s v="Daging Kambing"/>
        <s v="Daging Kerbau"/>
        <s v="Daging Kuda"/>
        <s v="Daging Sapi"/>
        <s v="Daun bangun-bangun segar"/>
        <s v="Daun Bawang"/>
        <s v="Daun bawang  merah segar"/>
        <s v="Daun bebuas segar"/>
        <s v="Daun belem segar"/>
        <s v="Daun Beluntas"/>
        <s v="Daun Cincau"/>
        <s v="Daun Gandaria"/>
        <s v="Daun gedi besar segar"/>
        <s v="Daun gelang segar"/>
        <s v="Daun gunda bali segar"/>
        <s v="Daun gunda serang segar"/>
        <s v="Daun Jambu Mete muda"/>
        <s v="Daun jampang segar"/>
        <s v="Daun jawaw seluang segar"/>
        <s v="Daun jonghe segar"/>
        <s v="Daun kacang ma segar"/>
        <s v="Daun Kacang Panjang"/>
        <s v="Daun Kacang Panjang kukus"/>
        <s v="Daun kacang panjang segar"/>
        <s v="Daun kasbi/singkong karet segar"/>
        <s v="Daun Katuk"/>
        <s v="Daun katuk rebus"/>
        <s v="Daun katuk segar"/>
        <s v="Daun Kecipir"/>
        <s v="Daun Kedondong"/>
        <s v="Daun Kelor"/>
        <s v="Daun Kelor rebus"/>
        <s v="Daun Kemangi"/>
        <s v="Daun kenikir segar"/>
        <s v="Daun kesum segar"/>
        <s v="Daun kol sawi segar"/>
        <s v="Daun Koro"/>
        <s v="Daun kubis segar"/>
        <s v="Daun Kumak"/>
        <s v="Daun Labu Siam"/>
        <s v="Daun Labu Waluh"/>
        <s v="Daun lamtoro segar"/>
        <s v="Daun leilem segar"/>
        <s v="Daun Leunca"/>
        <s v="Daun Lobak"/>
        <s v="Daun Lompong Tales"/>
        <s v="Daun Mangkokan"/>
        <s v="Daun matel ambon segar"/>
        <s v="Daun Melinjo"/>
        <s v="Daun Mengkudu Kukus"/>
        <s v="Daun ndusuk segar"/>
        <s v="Daun Oyong"/>
        <s v="Daun oyong segar"/>
        <s v="Daun Pakis"/>
        <s v="Daun pakis longgiho segar"/>
        <s v="Daun pakis segar"/>
        <s v="Daun pakis wambateu segar"/>
        <s v="Daun paku segar"/>
        <s v="Daun pangisegar"/>
        <s v="Daun pare segar"/>
        <s v="Daun pepaya segar"/>
        <s v="Daun Pete Cina"/>
        <s v="Daun Poh-pohan"/>
        <s v="Daun salam  bubuk"/>
        <s v="Daun selasih segar"/>
        <s v="Daun Semanggi"/>
        <s v="Daun semanggi segar"/>
        <s v="Daun simpur segar"/>
        <s v="Daun singkil segar"/>
        <s v="Daun Singkong"/>
        <s v="Daun singkong ambon segar"/>
        <s v="Daun singkong ampenan segar"/>
        <s v="Daun singkong kopang segar"/>
        <s v="Daun Singkong lodeh"/>
        <s v="Daun Singkong rebus"/>
        <s v="Daun singkong segar"/>
        <s v="Daun Sintrong"/>
        <s v="Daun talas rebus"/>
        <s v="Daun talas segar"/>
        <s v="Daun Tales"/>
        <s v="Daun Tales rebus"/>
        <s v="Daun tespong segar"/>
        <s v="Daun Ubi Jalar"/>
        <s v="Daun Ubi Jalar kukus"/>
        <s v="Daun ubi kuning segar"/>
        <s v="Daun ubi merah kukus"/>
        <s v="Daun ubi merah segar"/>
        <s v="Daun ubi putih segar"/>
        <s v="Daun ubi tinta segar"/>
        <s v="Deblo "/>
        <s v="Dendeng belut goreng"/>
        <s v="Dendeng Daging Sapi"/>
        <s v="Dendeng mujahir goreng"/>
        <s v="Dideh darah ayam"/>
        <s v="Dideh darah sapi"/>
        <s v="Djibokum masakan"/>
        <s v="Dodol"/>
        <s v="Dodol bali"/>
        <s v="Dodol banjarmasin"/>
        <s v="Dodol galamai"/>
        <s v="Dodol kedondong"/>
        <s v="Dodol manado"/>
        <s v="Dodonkol "/>
        <s v="Domba daging gemuk segar"/>
        <s v="Domba daging kurus  segar"/>
        <s v="Domba ginjal segar"/>
        <s v="Duku"/>
        <s v="Durian"/>
        <s v="Duwet segar"/>
        <s v="Eceng Gondok"/>
        <s v="Embacang"/>
        <s v="Empal (daging) Goreng masakan"/>
        <s v="Empal Goreng"/>
        <s v="Emping (kerupuk melinjo)"/>
        <s v="Emping beras"/>
        <s v="Emping komak"/>
        <s v="Encung asam segar"/>
        <s v="Enting-enting gepuk hello kity"/>
        <s v="Enting-enting gepuk kacang tanah"/>
        <s v="Enting-enting wijen"/>
        <s v="Erbis"/>
        <s v="Es krim"/>
        <s v="Es Krim (Coconut milk) "/>
        <s v="Es Mambo "/>
        <s v="Es Sirup "/>
        <s v="Fillet o-fish"/>
        <s v="Gadeng/Gadung kering"/>
        <s v="Gado-gado"/>
        <s v="Gadung kukus"/>
        <s v="Gadung mentah"/>
        <s v="Gadung ubi kukus"/>
        <s v="Gadung ubi segar"/>
        <s v="Gambas (Oyong)"/>
        <s v="Gambas lodeh"/>
        <s v="Gandaria"/>
        <s v="Ganyong kukus"/>
        <s v="Ganyong mentah"/>
        <s v="Ganyong rebus"/>
        <s v="Ganyong segar"/>
        <s v="Gaplek"/>
        <s v="Gatep segar"/>
        <s v="Gatot"/>
        <s v="Geblek"/>
        <s v="Gelatine"/>
        <s v="Gembili"/>
        <s v="Gembili ubi segar"/>
        <s v="Gemblong"/>
        <s v="Gendar goreng"/>
        <s v="Genjer segar"/>
        <s v="Geplak"/>
        <s v="Geplak jahe"/>
        <s v="Gete kuah asam masakan"/>
        <s v="Getuk goreng"/>
        <s v="Getuk Lindri "/>
        <s v="Getuk pisang"/>
        <s v="Getuk singkong"/>
        <s v="Ginjal Babi"/>
        <s v="Ginjal Domba"/>
        <s v="Ginjal Sapi"/>
        <s v="Gudeg "/>
        <s v="Gudeg sayur"/>
        <s v="Gula Aren"/>
        <s v="Gula Kelapa"/>
        <s v="Gula Merah Tebu belum dimurnikan"/>
        <s v="Gula putih"/>
        <s v="Gulai asam keueung masakan"/>
        <s v="Gulai ikan masakan"/>
        <s v="Gulai ikan paya masakan"/>
        <s v="Gulai kambing"/>
        <s v="Gulai keumamah masakan"/>
        <s v="Gulai pakis"/>
        <s v="Gulai pliek"/>
        <s v="Gulai tiram masakan"/>
        <s v="Gurame asem manis masakan"/>
        <s v="Gurandil"/>
        <s v="Ham"/>
        <s v="Hangop"/>
        <s v="Hati Babi"/>
        <s v="Hati Sapi"/>
        <s v="Havermout"/>
        <s v="Hofa/Ubi hutan segar"/>
        <s v="Ikan asar merah masakan"/>
        <s v="Ikan Asin bilis goreng"/>
        <s v="Ikan Asin gabus goreng"/>
        <s v="Ikan Asin japuh goreng"/>
        <s v="Ikan Asin kering"/>
        <s v="Ikan Asin pari goreng"/>
        <s v="Ikan Asin pepetek goreng"/>
        <s v="Ikan Asin sirinding goreng"/>
        <s v="Ikan Asin teri goreng"/>
        <s v="Ikan Bader (Tawes)"/>
        <s v="Ikan balong segar"/>
        <s v="Ikan bambangan segar"/>
        <s v="Ikan Bandeng"/>
        <s v="Ikan bandeng presto masakan"/>
        <s v="Ikan banjar segar"/>
        <s v="Ikan baronang segar"/>
        <s v="Ikan baung bakar"/>
        <s v="Ikan baung segar"/>
        <s v="Ikan Bawal"/>
        <s v="Ikan Bekasang"/>
        <s v="Ikan Belida bakar"/>
        <s v="Ikan Belida segar"/>
        <s v="Ikan Belut Segar goreng"/>
        <s v="Ikan Belut Segar mentah"/>
        <s v="Ikan Beunteur"/>
        <s v="Ikan biawan segar"/>
        <s v="Ikan bili segar"/>
        <s v="Ikan bubara segar"/>
        <s v="Ikan bulan-bulan segar"/>
        <s v="Ikan cakalang asap mentah"/>
        <s v="Ikan cakalang asin mentah"/>
        <s v="Ikan cakalang hati segar"/>
        <s v="Ikan cakalang jantung segar"/>
        <s v="Ikan cakalang perut segar"/>
        <s v="Ikan cakalang segar"/>
        <s v="Ikan calo/ peda mentah"/>
        <s v="Ikan daun segar"/>
        <s v="Ikan Ekor Kuning"/>
        <s v="Ikan Gabus asap mentah"/>
        <s v="Ikan Gabus kering"/>
        <s v="Ikan Gabus segar"/>
        <s v="Ikan gete goreng"/>
        <s v="Ikan hitam segar"/>
        <s v="Ikan hiu kering"/>
        <s v="Ikan hiu segar"/>
        <s v="Ikan kacangan segar"/>
        <s v="Ikan kakap segar"/>
        <s v="Ikan kakatua segar"/>
        <s v="Ikan kapar segar"/>
        <s v="Ikan katombo asin"/>
        <s v="Ikan kawalinya segar"/>
        <s v="Ikan kayu kering"/>
        <s v="Ikan Kembung"/>
        <s v="Ikan kima segar"/>
        <s v="Ikan Lais bakar"/>
        <s v="Ikan Layang"/>
        <s v="Ikan layur segar"/>
        <s v="Ikan lehoma segar"/>
        <s v="Ikan Lele goreng"/>
        <s v="Ikan Lemuru"/>
        <s v="Ikan lidah segar"/>
        <s v="Ikan lomak asin mentah"/>
        <s v="Ikan malalugis segar"/>
        <s v="Ikan Mas"/>
        <s v="Ikan Mas goreng"/>
        <s v="Ikan Mas pepes"/>
        <s v="Ikan mayong segar"/>
        <s v="Ikan Mujair dendeng goreng"/>
        <s v="Ikan Mujair dendeng mentah"/>
        <s v="Ikan Mujair goreng"/>
        <s v="Ikan Mujair pepes"/>
        <s v="Ikan Mujair segar"/>
        <s v="Ikan nasu metti segar"/>
        <s v="Ikan oci kembung segar"/>
        <s v="Ikan Papuyu bakar"/>
        <s v="Ikan papuyu/ betok segar"/>
        <s v="Ikan Patin bakar"/>
        <s v="Ikan Patin segar"/>
        <s v="Ikan peda banjar mentah"/>
        <s v="Ikan Pepetek"/>
        <s v="Ikan Pindang banjar mentah"/>
        <s v="Ikan Pindang benggol mentah"/>
        <s v="Ikan Pindang layang mentah"/>
        <s v="Ikan Pindang selar mentah"/>
        <s v="Ikan sale lais mentah"/>
        <s v="Ikan Sale segar"/>
        <s v="Ikan saluang kering mentah"/>
        <s v="Ikan saluang segar"/>
        <s v="Ikan sanggang masakan"/>
        <s v="Ikan sarden segar"/>
        <s v="Ikan Segar"/>
        <s v="Ikan Selar kering"/>
        <s v="Ikan selar kuning cue mentah"/>
        <s v="Ikan selar segar"/>
        <s v="Ikan Sepat kering"/>
        <s v="Ikan sepat segar"/>
        <s v="Ikan sidat segar"/>
        <s v="Ikan sunu asin mentah"/>
        <s v="Ikan sunu segar"/>
        <s v="Ikan tahuman segar"/>
        <s v="Ikan tarmon segar"/>
        <s v="Ikan telan segar"/>
        <s v="Ikan telur asin mentah"/>
        <s v="Ikan Tembang"/>
        <s v="Ikan tempahas segar"/>
        <s v="Ikan tepung mentah"/>
        <s v="Ikan terbang segar"/>
        <s v="Ikan Teri bubuk"/>
        <s v="Ikan Teri kering"/>
        <s v="Ikan Teri Kering tawar"/>
        <s v="Ikan Teri Nasi kering"/>
        <s v="Ikan teri segar"/>
        <s v="Ikan Teri tepung"/>
        <s v="Ikan titang segar"/>
        <s v="Ikan tongkol segar"/>
        <s v="Ikan turi segar"/>
        <s v="Intip goreng"/>
        <s v="Itik alabio daging dendeng mentah"/>
        <s v="Jagung grontol"/>
        <s v="Jagung Kuning giling"/>
        <s v="Jagung Kuning muda"/>
        <s v="Jagung Kuning pipil baru"/>
        <s v="Jagung kuning pipil kering mentah"/>
        <s v="Jagung Kuning pipil lama"/>
        <s v="Jagung kuning pipil rebus"/>
        <s v="Jagung Kuning segar"/>
        <s v="Jagung kuning tepung"/>
        <s v="Jagung muda"/>
        <s v="Jagung muda kuning mentah"/>
        <s v="Jagung muda rebus"/>
        <s v="Jagung pipil var. harapan kering"/>
        <s v="Jagung pipil var. metro kering"/>
        <s v="Jagung Putih giling"/>
        <s v="Jagung Putih muda"/>
        <s v="Jagung Putih pipil baru"/>
        <s v="Jagung Putih pipil lama"/>
        <s v="Jagung Putih segar"/>
        <s v="Jagung Rebus "/>
        <s v="Jagung Sayur (tumis) "/>
        <s v="Jagung titi"/>
        <s v="Jahe"/>
        <s v="Jali"/>
        <s v="Jam selai"/>
        <s v="Jambal goreng"/>
        <s v="Jambu Air"/>
        <s v="Jambu Biji"/>
        <s v="Jambu biji putih tidak berbiji"/>
        <s v="Jambu Bol"/>
        <s v="Jambu Monyet buah"/>
        <s v="Jampang huma mentah"/>
        <s v="Jamur Coklat (kulat siau)"/>
        <s v="Jamur encik"/>
        <s v="Jamur kuping kering"/>
        <s v="Jamur kuping segar"/>
        <s v="Jamur merang segar"/>
        <s v="Jamur Putih (kulat putih)"/>
        <s v="Jamur sagu"/>
        <s v="Jamur tiram segar"/>
        <s v="Jangang bintatoeng masakan"/>
        <s v="Jantung Pisang segar"/>
        <s v="Japilus"/>
        <s v="Jaruk Tigarun"/>
        <s v="Jawawut"/>
        <s v="Jenang "/>
        <s v="Jengkol segar"/>
        <s v="Jeruk Bali"/>
        <s v="Jeruk banjar segar"/>
        <s v="Jeruk Garut"/>
        <s v="Jeruk Kalamansi segar"/>
        <s v="Jeruk Manis"/>
        <s v="Jeruk Nipis"/>
        <s v="Jeruk ragi segar"/>
        <s v="Jotang"/>
        <s v="Jukku pallu kaloa masakan"/>
        <s v="Kabau segar"/>
        <s v="Kaburan ubi segar"/>
        <s v="Kabuto"/>
        <s v="Kacang Andong"/>
        <s v="Kacang Arab"/>
        <s v="Kacang atom"/>
        <s v="Kacang babi kering"/>
        <s v="Kacang belimbing (kecipir) kering"/>
        <s v="Kacang Belimbing rebus"/>
        <s v="Kacang Belimbing tempe"/>
        <s v="Kacang beracun segar"/>
        <s v="Kacang Bogor goreng"/>
        <s v="Kacang bogor kering"/>
        <s v="Kacang Bogor rebus"/>
        <s v="Kacang bogor segar"/>
        <s v="Kacang Endel biji"/>
        <s v="Kacang ercis segar"/>
        <s v="kacang galing segar"/>
        <s v="Kacang goyang"/>
        <s v="Kacang Gude biji"/>
        <s v="Kacang gude biji kering"/>
        <s v="Kacang Gude biji muda"/>
        <s v="Kacang Gude muda"/>
        <s v="Kacang gude rebus"/>
        <s v="Kacang hijau kering"/>
        <s v="kacang hijau rebus"/>
        <s v="Kacang hijau var. bakti kering"/>
        <s v="Kacang hijau var. siwalik kering"/>
        <s v="Kacang hitam kering"/>
        <s v="Kacang Ijo"/>
        <s v="Kacang Kapri Goreng "/>
        <s v="Kacang Kapri muda"/>
        <s v="Kacang Kedelai basah"/>
        <s v="Kacang kedelai goreng"/>
        <s v="Kacang kedelai kering"/>
        <s v="Kacang Kedelai kukus"/>
        <s v="Kacang kedelai rebus"/>
        <s v="Kacang kedelai segar"/>
        <s v="Kacang komak segar"/>
        <s v="Kacang kuning kering"/>
        <s v="Kacang lebui /iris kering"/>
        <s v="Kacang mekah polong segar"/>
        <s v="Kacang mentega kering"/>
        <s v="Kacang Merah"/>
        <s v="Kacang merah /banda kering"/>
        <s v="Kacang merah kering"/>
        <s v="Kacang Merah kering rebus"/>
        <s v="Kacang merah segar"/>
        <s v="Kacang Merah segar rebus"/>
        <s v="Kacang merah tua kering"/>
        <s v="Kacang mete/biji jambu monyet goreng"/>
        <s v="Kacang mete/biji jambu monyet segar"/>
        <s v="Kacang negara"/>
        <s v="Kacang Panjang"/>
        <s v="Kacang Panjang biji"/>
        <s v="Kacang Panjang kukus"/>
        <s v="Kacang Panjang tumis"/>
        <s v="Kacang ranti polong"/>
        <s v="Kacang sukro"/>
        <s v="Kacang Sukro Putih "/>
        <s v="Kacang Tanah atom"/>
        <s v="Kacang tanah goreng"/>
        <s v="Kacang Tanah kacang sari"/>
        <s v="Kacang tanah kering"/>
        <s v="Kacang Tanah Rebus "/>
        <s v="Kacang Tanah rebus berkulit"/>
        <s v="Kacang Tanah rempeyek"/>
        <s v="Kacang Tanah sangan berselaput"/>
        <s v="Kacang tanah sangan tanpa selaput"/>
        <s v="Kacang tanah sari"/>
        <s v="Kacang Telur "/>
        <s v="Kacang tolo / tunggak kering"/>
        <s v="Kacang tolo rebus"/>
        <s v="Kacang Tunggak (tolo)"/>
        <s v="Kacang Tunggak rebus"/>
        <s v="Kacang Tunggak rempeyek"/>
        <s v="Kacang tunis kering"/>
        <s v="Kacang uci kering"/>
        <s v="Kacang urei kering"/>
        <s v="Kadada katembe"/>
        <s v="Kaholeo masakan"/>
        <s v="Kakap"/>
        <s v="Kalakai"/>
        <s v="Kalio jeroan masakan"/>
        <s v="Kalio kikil (tunjang) masakan"/>
        <s v="Kalio otak masakan"/>
        <s v="Kalio telur masakan"/>
        <s v="Kambing daging segar"/>
        <s v="Kambose"/>
        <s v="Kangkung"/>
        <s v="Kangkung kukus"/>
        <s v="Kangkung rebus"/>
        <s v="Kangkung tondano"/>
        <s v="Kangkung tumis"/>
        <s v="Kaparende sayur"/>
        <s v="Kapri Muda"/>
        <s v="Kapurung"/>
        <s v="Kapusa"/>
        <s v="Karawila"/>
        <s v="Karedok "/>
        <s v="Karedok sayur"/>
        <s v="Karoket "/>
        <s v="Katak"/>
        <s v="Katul Beras"/>
        <s v="Katul Jagung"/>
        <s v="Kawista segar"/>
        <s v="Kecap"/>
        <s v="Kecimpring singkong goreng"/>
        <s v="Kecipir biji"/>
        <s v="Kecipir buah muda"/>
        <s v="Kecipir muda segar"/>
        <s v="Kecombrang segar"/>
        <s v="Kedondong segar "/>
        <s v="Keju"/>
        <s v="Keju Kacang Tanah"/>
        <s v="Kelapa hutan kering"/>
        <s v="Kelapa Muda air"/>
        <s v="Kelapa Muda daging"/>
        <s v="Kelapa Setengah Tua daging"/>
        <s v="Kelapa Tua daging"/>
        <s v="Kelepon "/>
        <s v="Kelewih"/>
        <s v="Kelinci daging segar"/>
        <s v="Kemang"/>
        <s v="Kembang tahu"/>
        <s v="Kembang Turi"/>
        <s v="Kemiri"/>
        <s v="Kenari"/>
        <s v="Kenari banda kering"/>
        <s v="Kentang"/>
        <s v="Kentang Hitam"/>
        <s v="Keong"/>
        <s v="Kepala Susu (Krim)"/>
        <s v="Kepiting"/>
        <s v="Kerang"/>
        <s v="Kerang asap mentah"/>
        <s v="Kerang dendeng mentah"/>
        <s v="Kerbau daging segar"/>
        <s v="Keremes"/>
        <s v="Keribang ubi segar"/>
        <s v="Keripik bayam"/>
        <s v="Keripik gadung"/>
        <s v="Keripik kentang"/>
        <s v="Keripik lampung"/>
        <s v="Keripik oncom"/>
        <s v="Keripik singkong"/>
        <s v="Keripik singkong berbumbu"/>
        <s v="Keripik tempe"/>
        <s v="Keripik tempe abadi murni"/>
        <s v="Keripik tempe abadi sedang"/>
        <s v="Keripik tempe abadi telur"/>
        <s v="Keripik ubi"/>
        <s v="Kerokot segar"/>
        <s v="Kerupuk Aci"/>
        <s v="Kerupuk cumi goreng"/>
        <s v="Kerupuk Ikan berpati"/>
        <s v="Kerupuk kemplang  (ikan) mentah"/>
        <s v="Kerupuk kemplang goreng"/>
        <s v="Kerupuk kemplang panggang"/>
        <s v="Kerupuk Kulit kerbau"/>
        <s v="Kerupuk Melinjo mentah"/>
        <s v="Kerupuk Melinjo tebal goreng asin"/>
        <s v="Kerupuk Melinjo tebal goreng manis"/>
        <s v="Kerupuk Melinjo tipis goreng"/>
        <s v="Kerupuk mie kuning goreng"/>
        <s v="Kerupuk Sayong "/>
        <s v="Kerupuk Udang "/>
        <s v="Kerupuk Udang berpati"/>
        <s v="Kerupuk udang goreng"/>
        <s v="Kerupuk urat"/>
        <s v="Kesemek"/>
        <s v="Ketan hitam matang"/>
        <s v="Ketan putih matang"/>
        <s v="Ketapang "/>
        <s v="Ketela Pohon Kuning"/>
        <s v="Ketela singkong segar"/>
        <s v="Ketela pohon/singkong kukus"/>
        <s v="Ketimun"/>
        <s v="Ketimun madura segar"/>
        <s v="Ketoprak"/>
        <s v="Ketumbar"/>
        <s v="Ketupat ketan"/>
        <s v="Ketupat Tahu "/>
        <s v="Kluwek"/>
        <s v="Kodok segar"/>
        <s v="Kokosan"/>
        <s v="Komak polong segar"/>
        <s v="Kool Kembang"/>
        <s v="Kool Merah kool putih"/>
        <s v="Kopi bagian yang larut"/>
        <s v="Kopi bubuk instant"/>
        <s v="Koro andong kering"/>
        <s v="Koro Benguk biji"/>
        <s v="Koro Benguk tempe"/>
        <s v="Koro Kerupuk biji"/>
        <s v="Koro Loke biji"/>
        <s v="Koro Roway biji"/>
        <s v="Koro Wedus biji"/>
        <s v="Koro Wedus buah muda"/>
        <s v="Koro wedus polong"/>
        <s v="Kotiu hinela tawang nggole"/>
        <s v="Koya"/>
        <s v="Koya mirasa"/>
        <s v="Kranji segar"/>
        <s v="Kripik Tempe Goreng "/>
        <s v="Krokot"/>
        <s v="Kucai"/>
        <s v="Kucai Muda (Lokio)"/>
        <s v="Kuda daging segar"/>
        <s v="Kue ali"/>
        <s v="Kue Apem "/>
        <s v="Kue bangket"/>
        <s v="Kue Bugis "/>
        <s v="Kue jahe"/>
        <s v="Kue kelapa"/>
        <s v="Kue Koya "/>
        <s v="Kue lumpur"/>
        <s v="Kue mangkok "/>
        <s v="Kue Pacar Cina "/>
        <s v="Kue Pia "/>
        <s v="Kue putu cangkir"/>
        <s v="Kue putu singkong"/>
        <s v="Kue Satu "/>
        <s v="Kue Semprong "/>
        <s v="Kue sus"/>
        <s v="Kue Talam "/>
        <s v="Kue Tambang "/>
        <s v="Kue thipan"/>
        <s v="Kulit melinjo"/>
        <s v="Kundur segar"/>
        <s v="Kunyit"/>
        <s v="Kura-kura"/>
        <s v="Kwaci"/>
        <s v="Kwark (Quark)"/>
        <s v="Labu Air"/>
        <s v="Labu kuning segar"/>
        <s v="Labu Siam"/>
        <s v="Labu waluh segar"/>
        <s v="Laksa "/>
        <s v="Lamtoro (pete cina) biji muda"/>
        <s v="Lamtoro biji tua"/>
        <s v="Lamtoro tempe"/>
        <s v="Lamtoro var. gung tanpa kulit"/>
        <s v="Lamtoro var. lokal dengan kulit"/>
        <s v="Langsat"/>
        <s v="Lantar segar"/>
        <s v="Lanting getuk"/>
        <s v="Lapis legit"/>
        <s v="Lawar babi masakan"/>
        <s v="Lawar penyu masakan"/>
        <s v="Lawara jangang masakan"/>
        <s v="Lawara penjah masakan"/>
        <s v="Ledre pisang"/>
        <s v="Lema/ Rebung asam"/>
        <s v="Lemak Babi"/>
        <s v="Lemak Babi (Bacon)"/>
        <s v="Lemak ikan"/>
        <s v="Lemak Kerbau"/>
        <s v="Lemon segar"/>
        <s v="Lemon Squasih"/>
        <s v="Lemonade"/>
        <s v="Lemper "/>
        <s v="Lempog durian"/>
        <s v="Lepok/Ubi rumput"/>
        <s v="Leunca buah"/>
        <s v="Leupeut Ketan "/>
        <s v="Leverwost (sosis hati)"/>
        <s v="Lilin bungkus gedi"/>
        <s v="Lobak"/>
        <s v="Lokan segar"/>
        <s v="Lontar segar"/>
        <s v="Lopis "/>
        <s v="Lumai/Leunca segar"/>
        <s v="Lupis ketan"/>
        <s v="Madu"/>
        <s v="Maizena tepung"/>
        <s v="Makaroni"/>
        <s v="Mangga benggala segar"/>
        <s v="Mangga Gedong"/>
        <s v="Mangga Golek"/>
        <s v="Mangga Harum Manis"/>
        <s v="Mangga Indramayu"/>
        <s v="Mangga Kopek"/>
        <s v="Mangga kwini segar"/>
        <s v="Mangga manalagi segar"/>
        <s v="Mangga Muda"/>
        <s v="Mangga segar"/>
        <s v="Manggis"/>
        <s v="Margarin"/>
        <s v="Markisa segar"/>
        <s v="Markisa squash"/>
        <s v="Markisa squash BD"/>
        <s v="Martabak  manis"/>
        <s v="Martabak india"/>
        <s v="Martabak mesir"/>
        <s v="Martabak Telur "/>
        <s v="Masekat"/>
        <s v="Matoa segar"/>
        <s v="Melase"/>
        <s v="Melinjo"/>
        <s v="Melon segar"/>
        <s v="Menjangan daging dendeng mentah"/>
        <s v="Mentega"/>
        <s v="Menteng"/>
        <s v="Merica"/>
        <s v="Mi basah"/>
        <s v="Mi golosor"/>
        <s v="Mi kering"/>
        <s v="Mie aceh rebus"/>
        <s v="Mie ayam"/>
        <s v="Mie bakso"/>
        <s v="Mie basah"/>
        <s v="Mie Bendo"/>
        <s v="Mie celon"/>
        <s v="Mie Goreng "/>
        <s v="Mie kering"/>
        <s v="Mie pangsit basah"/>
        <s v="Mie Sagu"/>
        <s v="Minyak Hati Hiu (Eulamia)"/>
        <s v="Minyak Ikan"/>
        <s v="Minyak Kacang Tanah"/>
        <s v="Minyak kedelai"/>
        <s v="Minyak Kelapa"/>
        <s v="Minyak Kelapa Sawit"/>
        <s v="Minyak Wijen"/>
        <s v="Minyak Zaitun"/>
        <s v="Misoa"/>
        <s v="Misro "/>
        <s v="Moon tahu"/>
        <s v="Mostarda metan -sawi"/>
        <s v="Mujahir acar kuning masakan"/>
        <s v="Naan maran sapi masakan"/>
        <s v="Nanas"/>
        <s v="Nanas palembang segar"/>
        <s v="Nangka biji"/>
        <s v="Nangka masak di pohon"/>
        <s v="Nangka Muda"/>
        <s v="Nasi"/>
        <s v="Nasi beras merah"/>
        <s v="Nasi gemuk"/>
        <s v="Nasi Goreng "/>
        <s v="Nasi gurih"/>
        <s v="Nasi jagung"/>
        <s v="Nasi minyak"/>
        <s v="Nasi rames"/>
        <s v="Nasi tim"/>
        <s v="Nasi Uduk "/>
        <s v="Nasu likku masakan"/>
        <s v="Noga Kacang Tanah "/>
        <s v="Nopia spesial"/>
        <s v="Olah-olah"/>
        <s v="Oncom"/>
        <s v="Oncom ampas kacang hijau"/>
        <s v="Oncom Goreng "/>
        <s v="Oncom Hitam Goreng "/>
        <s v="Oncom Hitam Goreng bertepung "/>
        <s v="Oncom kacang hijau + singkong"/>
        <s v="Oncom Kacang Tanah pepes"/>
        <s v="Oncom Kedele"/>
        <s v="Oncom Merah Goreng "/>
        <s v="Oncom Merah Goreng bertepung "/>
        <s v="Oncom Merah Sayur (tumis) "/>
        <s v="Oncom pepes"/>
        <s v="Onde-onde "/>
        <s v="Ongol-ongol "/>
        <s v="Ongol-ongol sagu"/>
        <s v="Opak Singkong "/>
        <s v="Oramu ninahu ndawa olaho masakan"/>
        <s v="Otak"/>
        <s v="Oyek"/>
        <s v="Oyek (dari singkong)"/>
        <s v="Paku hinela wulelenggapaya"/>
        <s v="Pala biji"/>
        <s v="Pala daging"/>
        <s v="Paniki masak santan masakan"/>
        <s v="Papais "/>
        <s v="Papeda"/>
        <s v="Parede baleh masakan"/>
        <s v="Paria (Pare)"/>
        <s v="Paria Putih kukus"/>
        <s v="Paria putih segar"/>
        <s v="Pastel"/>
        <s v="Pati Singkong (tapioka)"/>
        <s v="Pe-Cay"/>
        <s v="Peda Ikan Banjar"/>
        <s v="Pelecing kangkung"/>
        <s v="Pelepah manuk masakan"/>
        <s v="Pempek adaan"/>
        <s v="Pempek belida"/>
        <s v="Pempek kapal selam"/>
        <s v="Pempek kelesan"/>
        <s v="Pempek kulit"/>
        <s v="Pempek tenggiri"/>
        <s v="Pencok lele masakan"/>
        <s v="Penyu serapah masakan"/>
        <s v="Pepare ular segar"/>
        <s v="Pepaya lodeh"/>
        <s v="Pepaya Muda"/>
        <s v="Pepaya segar"/>
        <s v="Pepea oncom ampas tahu"/>
        <s v="Permen "/>
        <s v="Pete Segar"/>
        <s v="Peterseli"/>
        <s v="Petis Ikan"/>
        <s v="Petis Udang"/>
        <s v="Petis udang kering"/>
        <s v="Petis udang pasta"/>
        <s v="Pilus "/>
        <s v="Pinda masakan"/>
        <s v="Pindang Ikan Banjar"/>
        <s v="Pindang Ikan Benggol"/>
        <s v="Pindang Ikan Layang"/>
        <s v="Pindang Ikan Selar Kecil"/>
        <s v="Pindang kenari masakan"/>
        <s v="Pisang Ambon"/>
        <s v="Pisang angleng (pisang ampyang) segar"/>
        <s v="Pisang ayam segar"/>
        <s v="Pisang gapi segar "/>
        <s v="Pisang Goreng "/>
        <s v="Pisang goroho segar"/>
        <s v="Pisang hijau segar"/>
        <s v="Pisang kayu segar"/>
        <s v="Pisang kepok segar"/>
        <s v="Pisang ketip segar"/>
        <s v="Pisang kidang segar"/>
        <s v="Pisang Lampung"/>
        <s v="Pisang Mas"/>
        <s v="Pisang mas bali"/>
        <s v="Pisang Oli"/>
        <s v="Pisang Raja"/>
        <s v="Pisang Raja Sere (Susu)"/>
        <s v="Pisang rotan segar"/>
        <s v="Pisang Siam goreng"/>
        <s v="Pisang talas segar"/>
        <s v="Prey (bawang daun)"/>
        <s v="Pucuk lumai/daun leunca segar"/>
        <s v="Pulut"/>
        <s v="Punai daging goreng"/>
        <s v="Pundut nasi"/>
        <s v="Purundawa"/>
        <s v="Purut segar"/>
        <s v="Putri malu segar"/>
        <s v="Putri selat"/>
        <s v="Putu Mayang "/>
        <s v="Ragi"/>
        <s v="Rajungan segar"/>
        <s v="Rambutan"/>
        <s v="Rambutan Aceh"/>
        <s v="Rambutan binjai segar"/>
        <s v="Rambutan sinyonya"/>
        <s v="Rarawuan "/>
        <s v="Rasbi (Beras Ubi)"/>
        <s v="Rasi (Beras Singkong)"/>
        <s v="Rawon masakan"/>
        <s v="Rebon (udang kecil segar)"/>
        <s v="Rebon kering"/>
        <s v="Rebon udang kecil segar"/>
        <s v="Rebung"/>
        <s v="Rebung laut mentah"/>
        <s v="Rempeyek kacang tolo"/>
        <s v="Rempeyek kacang uci"/>
        <s v="Rendang sapi masakan"/>
        <s v="Renggi goreng"/>
        <s v="Rimbang segar"/>
        <s v="Risoles "/>
        <s v="Roti boong"/>
        <s v="Roti Gambang "/>
        <s v="Roti Putih"/>
        <s v="Roti warna sawo matang"/>
        <s v="Rujak cingur"/>
        <s v="Rumput laut"/>
        <s v="Rusa daging dendeng mentah"/>
        <s v="Rusip"/>
        <s v="RW anjing masakan"/>
        <s v="Saga biji tanpa kulit"/>
        <s v="Sagu Ambon "/>
        <s v="Sagu aren kering"/>
        <s v="Sagu aren segar"/>
        <s v="Sagu forno"/>
        <s v="Sagu kasbi segar"/>
        <s v="Sagu Lemak (Kue Sagon)"/>
        <s v="Sagu lempeng"/>
        <s v="Sagu Rendang"/>
        <s v="Sagu singkong kering"/>
        <s v="Sagu sinole"/>
        <s v="Salak bali segar"/>
        <s v="Salak medan segar"/>
        <s v="Salak pondoh segar"/>
        <s v="Sale pisang siam"/>
        <s v="Santan (dengan air)"/>
        <s v="Santan (kelapa saja)"/>
        <s v="Santan murni"/>
        <s v="Saos Tomat"/>
        <s v="Sapi abon"/>
        <s v="Sapi babat segar"/>
        <s v="Sapi daging asap"/>
        <s v="Sapi daging dendeng mentah"/>
        <s v="Sapi daging gemuk segar"/>
        <s v="Sapi daging kornet"/>
        <s v="Sapi daging kurus segar"/>
        <s v="Sapi daging lemak sedang segar"/>
        <s v="Sapi daging sosis (Worst)"/>
        <s v="Sapi daleman segar"/>
        <s v="Sapi dideh/darah"/>
        <s v="Sapi ginjal segar"/>
        <s v="Sapi hati sosis (liverworst)"/>
        <s v="Sapi keleponan segar"/>
        <s v="Sapi liver segar"/>
        <s v="Sapi otak segar"/>
        <s v="Sapi paru dendeng mentah"/>
        <s v="Sapi paru goreng"/>
        <s v="Sapi usus segar"/>
        <s v="Sarang Burung"/>
        <s v="Sardines dalam kaleng"/>
        <s v="Sari Kedelai bubuk"/>
        <s v="Sarimuka"/>
        <s v="Sate Bandeng"/>
        <s v="Sate Kulit "/>
        <s v="Sate penyu masakan"/>
        <s v="Sate pusut masakan"/>
        <s v="Sate Usus "/>
        <s v="Sawi"/>
        <s v="Sawi putih / pecai segar"/>
        <s v="Sawi taiwan segar"/>
        <s v="Sawi tanah segar"/>
        <s v="Sawo"/>
        <s v="Sawo duren segar"/>
        <s v="Sawo kecik segar"/>
        <s v="Sawo Manila segar"/>
        <s v="Sayur asem"/>
        <s v="Sayur bunga pepaya"/>
        <s v="Sayur garu"/>
        <s v="Sayur kohu-kohu"/>
        <s v="Sayur lebui"/>
        <s v="Sayur lilin-terubuk"/>
        <s v="Sayur ndusuk"/>
        <s v="Sayur sop"/>
        <s v="Sayur umbut kelapa"/>
        <s v="Sayur umbut rotan"/>
        <s v="Selada"/>
        <s v="Selada Air"/>
        <s v="Selada Air rebus"/>
        <s v="Seledri"/>
        <s v="Semangka"/>
        <s v="Semur Jengkol "/>
        <s v="Sente"/>
        <s v="Sente talas segar"/>
        <s v="Sepi masakan"/>
        <s v="Serbuk Coklat"/>
        <s v="Serimping talas kebumen"/>
        <s v="Setrup sirup"/>
        <s v="Shabu-shabu"/>
        <s v="Sie reuboh masakan"/>
        <s v="Singkah (rotan muda)"/>
        <s v="Singkong Goreng "/>
        <s v="Singkong kukus"/>
        <s v="Singkong tape"/>
        <s v="Siomay "/>
        <s v="Sirsak"/>
        <s v="Sirup"/>
        <s v="Sop buntut masakan"/>
        <s v="Sop daging sapi masakan"/>
        <s v="Sop kaki sapi masakan"/>
        <s v="Sop kambing masakan"/>
        <s v="Sop konro masakan"/>
        <s v="Sop Kool"/>
        <s v="Sop Kool dan Wortel"/>
        <s v="Sop saudara masakan"/>
        <s v="Soto bandung masakan"/>
        <s v="Soto banjar masakan"/>
        <s v="Soto betawi masakan"/>
        <s v="Soto dengan Daging"/>
        <s v="Soto jeroan masakan"/>
        <s v="Soto kudus masakan"/>
        <s v="Soto madura masakan"/>
        <s v="Soto padang masakan"/>
        <s v="Soto pekalongan masakan"/>
        <s v="Soto pemalang masakan"/>
        <s v="Soto sukaraja masakan"/>
        <s v="Soto sulung masakan"/>
        <s v="Soto tanpa Daging "/>
        <s v="Spaghetti"/>
        <s v="Srikaya"/>
        <s v="Sukiyaki masakan"/>
        <s v="Sukun muda segar"/>
        <s v="Sukun tua segar"/>
        <s v="Susu asam untuk bayi bubuk"/>
        <s v="Susu bubuk"/>
        <s v="Susu Kambing"/>
        <s v="Susu Kedelai"/>
        <s v="Susu Kental Manis"/>
        <s v="Susu Kental Tak Manis"/>
        <s v="Susu Kerbau"/>
        <s v="Susu Sapi"/>
        <s v="Susu Skim (tak berlemak)"/>
        <s v="Susu skim bubuk"/>
        <s v="Susu skim segar"/>
        <s v="Susupan"/>
        <s v="Suweg kukus"/>
        <s v="Suweg mentah"/>
        <s v="Suweg talas segar"/>
        <s v="Suwir-suwir"/>
        <s v="Tahu"/>
        <s v="Tahu goreng"/>
        <s v="Tahu telur"/>
        <s v="Takwa"/>
        <s v="Talas bogor kukus"/>
        <s v="Talas pontianak segar"/>
        <s v="Talas viqueque segar"/>
        <s v="Tales kukus"/>
        <s v="Tales mentah"/>
        <s v="Taoco"/>
        <s v="Taoge goreng"/>
        <s v="Taoge kacang kedelai segar"/>
        <s v="Taoge seduh"/>
        <s v="Taoge segar"/>
        <s v="Taokoa"/>
        <s v="Tapai beras"/>
        <s v="Tapai ketan hitam"/>
        <s v="Tapai ketan putih"/>
        <s v="Tapai singkong"/>
        <s v="Tauco cap DAS cake"/>
        <s v="Tauji cap singa"/>
        <s v="Tebu Terubuk"/>
        <s v="Tedong pallu basa masakan"/>
        <s v="Teh"/>
        <s v="Teh hijau daun kering"/>
        <s v="Teh melati daun kering"/>
        <s v="Tekokak"/>
        <s v="Tekokak kering"/>
        <s v="Tekwan"/>
        <s v="Telur Ayam"/>
        <s v="Telur Ayam bagian kuning"/>
        <s v="Telur Ayam bagian putih"/>
        <s v="Telur Ayam ceplok"/>
        <s v="Telur Ayam dadar"/>
        <s v="Telur ayam kampung "/>
        <s v="Telur bebek bagian kuning segar"/>
        <s v="Telur Bebek bagian putih"/>
        <s v="Telur bebek bagian putih segar"/>
        <s v="Telur Bebek ceplok"/>
        <s v="Telur Bebek dadar"/>
        <s v="Telur bebek tambak segar"/>
        <s v="Telur Bebek telur asin"/>
        <s v="Telur burung puyuh segar"/>
        <s v="Telur Penyu"/>
        <s v="Telur Terubuk"/>
        <s v="Tempe bongkrek"/>
        <s v="Tempe Gembus"/>
        <s v="Tempe gembus yogya"/>
        <s v="Tempe Goreng "/>
        <s v="Tempe kacang babi"/>
        <s v="Tempe kacang belimbing"/>
        <s v="Tempe kedelai + jagung"/>
        <s v="Tempe kedelai murni goreng"/>
        <s v="Tempe kedelai murni mentah"/>
        <s v="Tempe koro benguk"/>
        <s v="Tempe lamtoro var. gung dengan kulit"/>
        <s v="Tempe lamtoro var. gung tanpa kulit"/>
        <s v="Tempe pasar segar"/>
        <s v="Tempe pasar goreng"/>
        <s v="Tempe Sayur "/>
        <s v="Tempoya"/>
        <s v="Tempuyak"/>
        <s v="Tepung Arrowroot"/>
        <s v="Tepung Beras"/>
        <s v="Tepung beras mentah"/>
        <s v="Tepung Ganyong"/>
        <s v="Tepung Gaplek"/>
        <s v="Tepung Garut (arrowroot)"/>
        <s v="Tepung Hunkwee"/>
        <s v="Tepung Ikan"/>
        <s v="Tepung Jagung Kuning"/>
        <s v="Tepung jagung putih"/>
        <s v="Tepung Jalejo"/>
        <s v="Tepung Kacang Kedelai"/>
        <s v="Tepung Kentang"/>
        <s v="Tepung Mocaf"/>
        <s v="Tepung Pisang"/>
        <s v="Tepung Sagu"/>
        <s v="Tepung Sente"/>
        <s v="Tepung singkong/ Tapioka"/>
        <s v="Tepung Sukun"/>
        <s v="Tepung Susu"/>
        <s v="Tepung Susu Asam untuk bayi"/>
        <s v="Tepung Susu Skim"/>
        <s v="Tepung Tales Beneng"/>
        <s v="Tepung Terigu"/>
        <s v="Tepung Ubi Ungu"/>
        <s v="Terasi"/>
        <s v="Terasi dobo"/>
        <s v="Terasi Merah"/>
        <s v="Teri balado masakan"/>
        <s v="Teripang dendeng mentah"/>
        <s v="Terong"/>
        <s v="Terong + Oncom makanan"/>
        <s v="Terong Asam"/>
        <s v="Terong Belanda"/>
        <s v="Terong hintalo segar"/>
        <s v="Terong kukus"/>
        <s v="Terong segar"/>
        <s v="Terung belanda segar"/>
        <s v="Terung bengkulu segar"/>
        <s v="Terung panjang"/>
        <s v="Terung panjang kukus"/>
        <s v="Tespong daun"/>
        <s v="Tim (nasi tim)"/>
        <s v="Tinira ninahu nggaluku"/>
        <s v="Tinoransak masakan"/>
        <s v="Tipa-tipa"/>
        <s v="Tiwul  "/>
        <s v="Tiwul Instan"/>
        <s v="Toge -Tahu makanan"/>
        <s v="Toge Goreng "/>
        <s v="Toge kacang ijo"/>
        <s v="Toge kacang tunggak"/>
        <s v="Toge kedelai"/>
        <s v="Toge seduh"/>
        <s v="Tomat air (juice) segar"/>
        <s v="Tomat Masak"/>
        <s v="Tomat merah segar"/>
        <s v="Tomat muda segar"/>
        <s v="Tumis bandeng"/>
        <s v="Tumis bayam bersantan"/>
        <s v="Ubi Cilembu"/>
        <s v="Ubi Jalar Goreng "/>
        <s v="Ubi jalar kuning kukus"/>
        <s v="Ubi jalar kuning segar"/>
        <s v="Ubi jalar manis segar"/>
        <s v="Ubi Jalar Merah"/>
        <s v="Ubi jalar merah segar"/>
        <s v="Ubi Jalar Putih"/>
        <s v="Ubi Jalar Rebus"/>
        <s v="Ubi Jalar Sayur"/>
        <s v="Ubi jalar tinta/ kemayung"/>
        <s v="Ubi jalar tinta/ kemayung kukus"/>
        <s v="Uceng/ bunga melinjo segar"/>
        <s v="Udang besar segar"/>
        <s v="Udang galah segar"/>
        <s v="Udang kering"/>
        <s v="Udang kering mentah"/>
        <s v="Udang papay mentah"/>
        <s v="Udang segar"/>
        <s v="Ulat sagu panggang"/>
        <s v="Ulat sagu segar"/>
        <s v="Umbi Uwi segar"/>
        <s v="Umbut rotan"/>
        <s v="Usus Sapi"/>
        <s v="Uwi"/>
        <s v="Vermicelli"/>
        <s v="Wajit camilan"/>
        <s v="Waluh balamak"/>
        <s v="Widaran"/>
        <s v="Wijen"/>
        <s v="Wingko babat"/>
        <s v="Woku ubi"/>
        <s v="Worst (sosis daging)"/>
        <s v="Wortel Segar"/>
        <s v="Wortel kukus"/>
        <s v="Wortel rebus"/>
        <s v="Yangko"/>
        <s v="Yoghurt"/>
      </sharedItems>
    </cacheField>
    <cacheField name="Kategori Kalori" numFmtId="0">
      <sharedItems count="3">
        <s v="Kalori Sedang"/>
        <s v="Tinggi Kalori"/>
        <s v="Rendah Kalo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6">
  <r>
    <n v="1"/>
    <n v="280"/>
    <n v="92"/>
    <n v="284"/>
    <x v="0"/>
    <x v="0"/>
    <x v="0"/>
  </r>
  <r>
    <n v="2"/>
    <n v="513"/>
    <n v="237"/>
    <n v="37"/>
    <x v="1"/>
    <x v="1"/>
    <x v="1"/>
  </r>
  <r>
    <n v="3"/>
    <n v="0"/>
    <n v="0"/>
    <n v="2"/>
    <x v="0"/>
    <x v="2"/>
    <x v="2"/>
  </r>
  <r>
    <n v="4"/>
    <n v="45"/>
    <n v="11"/>
    <n v="4"/>
    <x v="2"/>
    <x v="3"/>
    <x v="2"/>
  </r>
  <r>
    <n v="5"/>
    <n v="37"/>
    <n v="44"/>
    <n v="5"/>
    <x v="3"/>
    <x v="4"/>
    <x v="2"/>
  </r>
  <r>
    <n v="6"/>
    <n v="85"/>
    <n v="9"/>
    <n v="65"/>
    <x v="4"/>
    <x v="5"/>
    <x v="2"/>
  </r>
  <r>
    <n v="7"/>
    <n v="96"/>
    <n v="37"/>
    <n v="6"/>
    <x v="5"/>
    <x v="6"/>
    <x v="2"/>
  </r>
  <r>
    <n v="8"/>
    <n v="414"/>
    <n v="266"/>
    <n v="183"/>
    <x v="6"/>
    <x v="7"/>
    <x v="1"/>
  </r>
  <r>
    <n v="9"/>
    <n v="75"/>
    <n v="41"/>
    <n v="21"/>
    <x v="7"/>
    <x v="8"/>
    <x v="2"/>
  </r>
  <r>
    <n v="10"/>
    <n v="67"/>
    <n v="5"/>
    <n v="21"/>
    <x v="8"/>
    <x v="9"/>
    <x v="2"/>
  </r>
  <r>
    <n v="11"/>
    <n v="184"/>
    <n v="188"/>
    <n v="14"/>
    <x v="0"/>
    <x v="10"/>
    <x v="0"/>
  </r>
  <r>
    <n v="12"/>
    <n v="174"/>
    <n v="196"/>
    <n v="10"/>
    <x v="0"/>
    <x v="11"/>
    <x v="0"/>
  </r>
  <r>
    <n v="13"/>
    <n v="190"/>
    <n v="191"/>
    <n v="12"/>
    <x v="0"/>
    <x v="12"/>
    <x v="0"/>
  </r>
  <r>
    <n v="14"/>
    <n v="99"/>
    <n v="46"/>
    <n v="1"/>
    <x v="9"/>
    <x v="13"/>
    <x v="2"/>
  </r>
  <r>
    <n v="15"/>
    <n v="25"/>
    <n v="16"/>
    <n v="2"/>
    <x v="10"/>
    <x v="14"/>
    <x v="2"/>
  </r>
  <r>
    <n v="16"/>
    <n v="30"/>
    <n v="5"/>
    <n v="2"/>
    <x v="11"/>
    <x v="15"/>
    <x v="2"/>
  </r>
  <r>
    <n v="17"/>
    <n v="354"/>
    <n v="164"/>
    <n v="315"/>
    <x v="0"/>
    <x v="16"/>
    <x v="1"/>
  </r>
  <r>
    <n v="18"/>
    <n v="126"/>
    <n v="34"/>
    <n v="79"/>
    <x v="12"/>
    <x v="17"/>
    <x v="0"/>
  </r>
  <r>
    <n v="19"/>
    <n v="58"/>
    <n v="3"/>
    <n v="4"/>
    <x v="13"/>
    <x v="18"/>
    <x v="2"/>
  </r>
  <r>
    <n v="20"/>
    <n v="57"/>
    <n v="5"/>
    <n v="4"/>
    <x v="14"/>
    <x v="19"/>
    <x v="2"/>
  </r>
  <r>
    <n v="21"/>
    <n v="37"/>
    <n v="8"/>
    <n v="5"/>
    <x v="15"/>
    <x v="20"/>
    <x v="2"/>
  </r>
  <r>
    <n v="22"/>
    <n v="113"/>
    <n v="9"/>
    <n v="72"/>
    <x v="16"/>
    <x v="21"/>
    <x v="0"/>
  </r>
  <r>
    <n v="23"/>
    <n v="102"/>
    <n v="1"/>
    <n v="2"/>
    <x v="17"/>
    <x v="22"/>
    <x v="0"/>
  </r>
  <r>
    <n v="24"/>
    <n v="277"/>
    <n v="24"/>
    <n v="25"/>
    <x v="7"/>
    <x v="23"/>
    <x v="0"/>
  </r>
  <r>
    <n v="25"/>
    <n v="75"/>
    <n v="2"/>
    <n v="11"/>
    <x v="18"/>
    <x v="24"/>
    <x v="2"/>
  </r>
  <r>
    <n v="26"/>
    <n v="239"/>
    <n v="28"/>
    <n v="6"/>
    <x v="19"/>
    <x v="25"/>
    <x v="0"/>
  </r>
  <r>
    <n v="27"/>
    <n v="135"/>
    <n v="8"/>
    <n v="4"/>
    <x v="20"/>
    <x v="26"/>
    <x v="0"/>
  </r>
  <r>
    <n v="28"/>
    <n v="261"/>
    <n v="9"/>
    <n v="16"/>
    <x v="21"/>
    <x v="27"/>
    <x v="0"/>
  </r>
  <r>
    <n v="29"/>
    <n v="98"/>
    <n v="39"/>
    <n v="26"/>
    <x v="22"/>
    <x v="28"/>
    <x v="2"/>
  </r>
  <r>
    <n v="30"/>
    <n v="302"/>
    <n v="182"/>
    <n v="25"/>
    <x v="0"/>
    <x v="29"/>
    <x v="1"/>
  </r>
  <r>
    <n v="31"/>
    <n v="297"/>
    <n v="359"/>
    <n v="152"/>
    <x v="23"/>
    <x v="30"/>
    <x v="0"/>
  </r>
  <r>
    <n v="32"/>
    <n v="270"/>
    <n v="323"/>
    <n v="112"/>
    <x v="24"/>
    <x v="31"/>
    <x v="0"/>
  </r>
  <r>
    <n v="33"/>
    <n v="75"/>
    <n v="138"/>
    <n v="19"/>
    <x v="25"/>
    <x v="32"/>
    <x v="2"/>
  </r>
  <r>
    <n v="34"/>
    <n v="295"/>
    <n v="34"/>
    <n v="16"/>
    <x v="26"/>
    <x v="33"/>
    <x v="0"/>
  </r>
  <r>
    <n v="35"/>
    <n v="338"/>
    <n v="352"/>
    <n v="206"/>
    <x v="27"/>
    <x v="34"/>
    <x v="1"/>
  </r>
  <r>
    <n v="36"/>
    <n v="275"/>
    <n v="374"/>
    <n v="122"/>
    <x v="28"/>
    <x v="35"/>
    <x v="0"/>
  </r>
  <r>
    <n v="37"/>
    <n v="298"/>
    <n v="342"/>
    <n v="168"/>
    <x v="29"/>
    <x v="36"/>
    <x v="0"/>
  </r>
  <r>
    <n v="38"/>
    <n v="286"/>
    <n v="321"/>
    <n v="161"/>
    <x v="30"/>
    <x v="37"/>
    <x v="0"/>
  </r>
  <r>
    <n v="39"/>
    <n v="295"/>
    <n v="392"/>
    <n v="136"/>
    <x v="29"/>
    <x v="38"/>
    <x v="0"/>
  </r>
  <r>
    <n v="40"/>
    <n v="287"/>
    <n v="31"/>
    <n v="157"/>
    <x v="31"/>
    <x v="39"/>
    <x v="0"/>
  </r>
  <r>
    <n v="41"/>
    <n v="246"/>
    <n v="379"/>
    <n v="9"/>
    <x v="25"/>
    <x v="40"/>
    <x v="0"/>
  </r>
  <r>
    <n v="42"/>
    <n v="245"/>
    <n v="331"/>
    <n v="114"/>
    <x v="32"/>
    <x v="41"/>
    <x v="0"/>
  </r>
  <r>
    <n v="43"/>
    <n v="295"/>
    <n v="374"/>
    <n v="147"/>
    <x v="33"/>
    <x v="42"/>
    <x v="0"/>
  </r>
  <r>
    <n v="44"/>
    <n v="244"/>
    <n v="367"/>
    <n v="92"/>
    <x v="29"/>
    <x v="43"/>
    <x v="0"/>
  </r>
  <r>
    <n v="45"/>
    <n v="283"/>
    <n v="357"/>
    <n v="143"/>
    <x v="34"/>
    <x v="44"/>
    <x v="0"/>
  </r>
  <r>
    <n v="46"/>
    <n v="261"/>
    <n v="274"/>
    <n v="161"/>
    <x v="23"/>
    <x v="45"/>
    <x v="0"/>
  </r>
  <r>
    <n v="47"/>
    <n v="264"/>
    <n v="182"/>
    <n v="201"/>
    <x v="35"/>
    <x v="46"/>
    <x v="0"/>
  </r>
  <r>
    <n v="48"/>
    <n v="473"/>
    <n v="452"/>
    <n v="263"/>
    <x v="36"/>
    <x v="47"/>
    <x v="1"/>
  </r>
  <r>
    <n v="49"/>
    <n v="113"/>
    <n v="176"/>
    <n v="42"/>
    <x v="0"/>
    <x v="48"/>
    <x v="0"/>
  </r>
  <r>
    <n v="50"/>
    <n v="453"/>
    <n v="119"/>
    <n v="45"/>
    <x v="0"/>
    <x v="49"/>
    <x v="1"/>
  </r>
  <r>
    <n v="51"/>
    <n v="371"/>
    <n v="141"/>
    <n v="35"/>
    <x v="0"/>
    <x v="50"/>
    <x v="1"/>
  </r>
  <r>
    <n v="52"/>
    <n v="110"/>
    <n v="163"/>
    <n v="46"/>
    <x v="37"/>
    <x v="51"/>
    <x v="0"/>
  </r>
  <r>
    <n v="53"/>
    <n v="129"/>
    <n v="197"/>
    <n v="48"/>
    <x v="31"/>
    <x v="52"/>
    <x v="0"/>
  </r>
  <r>
    <n v="54"/>
    <n v="491"/>
    <n v="246"/>
    <n v="163"/>
    <x v="38"/>
    <x v="53"/>
    <x v="1"/>
  </r>
  <r>
    <n v="55"/>
    <n v="1029"/>
    <n v="33"/>
    <n v="27"/>
    <x v="39"/>
    <x v="54"/>
    <x v="1"/>
  </r>
  <r>
    <n v="56"/>
    <n v="450"/>
    <n v="32"/>
    <n v="139"/>
    <x v="40"/>
    <x v="55"/>
    <x v="1"/>
  </r>
  <r>
    <n v="57"/>
    <n v="452"/>
    <n v="13"/>
    <n v="138"/>
    <x v="41"/>
    <x v="56"/>
    <x v="1"/>
  </r>
  <r>
    <n v="58"/>
    <n v="529"/>
    <n v="32"/>
    <n v="291"/>
    <x v="42"/>
    <x v="57"/>
    <x v="1"/>
  </r>
  <r>
    <n v="59"/>
    <n v="523"/>
    <n v="32"/>
    <n v="282"/>
    <x v="43"/>
    <x v="58"/>
    <x v="1"/>
  </r>
  <r>
    <n v="60"/>
    <n v="416"/>
    <n v="65"/>
    <n v="94"/>
    <x v="44"/>
    <x v="59"/>
    <x v="1"/>
  </r>
  <r>
    <n v="61"/>
    <n v="382"/>
    <n v="3"/>
    <n v="35"/>
    <x v="45"/>
    <x v="60"/>
    <x v="1"/>
  </r>
  <r>
    <n v="62"/>
    <n v="129"/>
    <n v="19"/>
    <n v="66"/>
    <x v="46"/>
    <x v="61"/>
    <x v="0"/>
  </r>
  <r>
    <n v="63"/>
    <n v="272"/>
    <n v="87"/>
    <n v="67"/>
    <x v="47"/>
    <x v="62"/>
    <x v="0"/>
  </r>
  <r>
    <n v="64"/>
    <n v="76"/>
    <n v="41"/>
    <n v="25"/>
    <x v="48"/>
    <x v="63"/>
    <x v="2"/>
  </r>
  <r>
    <n v="65"/>
    <n v="27"/>
    <n v="2"/>
    <n v="2"/>
    <x v="49"/>
    <x v="64"/>
    <x v="2"/>
  </r>
  <r>
    <n v="66"/>
    <n v="280"/>
    <n v="82"/>
    <n v="102"/>
    <x v="50"/>
    <x v="65"/>
    <x v="0"/>
  </r>
  <r>
    <n v="67"/>
    <n v="13"/>
    <n v="4"/>
    <n v="2"/>
    <x v="32"/>
    <x v="66"/>
    <x v="2"/>
  </r>
  <r>
    <n v="68"/>
    <n v="190"/>
    <n v="33"/>
    <n v="3"/>
    <x v="51"/>
    <x v="67"/>
    <x v="0"/>
  </r>
  <r>
    <n v="69"/>
    <n v="159"/>
    <n v="31"/>
    <n v="58"/>
    <x v="52"/>
    <x v="68"/>
    <x v="0"/>
  </r>
  <r>
    <n v="70"/>
    <n v="137"/>
    <n v="43"/>
    <n v="48"/>
    <x v="5"/>
    <x v="69"/>
    <x v="0"/>
  </r>
  <r>
    <n v="71"/>
    <n v="107"/>
    <n v="22"/>
    <n v="22"/>
    <x v="53"/>
    <x v="70"/>
    <x v="0"/>
  </r>
  <r>
    <n v="72"/>
    <n v="76"/>
    <n v="11"/>
    <n v="9"/>
    <x v="23"/>
    <x v="71"/>
    <x v="2"/>
  </r>
  <r>
    <n v="73"/>
    <n v="110"/>
    <n v="14"/>
    <n v="11"/>
    <x v="54"/>
    <x v="72"/>
    <x v="0"/>
  </r>
  <r>
    <n v="74"/>
    <n v="92"/>
    <n v="12"/>
    <n v="3"/>
    <x v="55"/>
    <x v="73"/>
    <x v="2"/>
  </r>
  <r>
    <n v="75"/>
    <n v="89"/>
    <n v="11"/>
    <n v="1"/>
    <x v="55"/>
    <x v="74"/>
    <x v="2"/>
  </r>
  <r>
    <n v="76"/>
    <n v="182"/>
    <n v="24"/>
    <n v="4"/>
    <x v="56"/>
    <x v="75"/>
    <x v="0"/>
  </r>
  <r>
    <n v="77"/>
    <n v="45"/>
    <n v="14"/>
    <n v="2"/>
    <x v="12"/>
    <x v="76"/>
    <x v="2"/>
  </r>
  <r>
    <n v="78"/>
    <n v="39"/>
    <n v="15"/>
    <n v="3"/>
    <x v="38"/>
    <x v="77"/>
    <x v="2"/>
  </r>
  <r>
    <n v="79"/>
    <n v="95"/>
    <n v="45"/>
    <n v="2"/>
    <x v="57"/>
    <x v="78"/>
    <x v="2"/>
  </r>
  <r>
    <n v="80"/>
    <n v="30"/>
    <n v="13"/>
    <n v="7"/>
    <x v="58"/>
    <x v="79"/>
    <x v="2"/>
  </r>
  <r>
    <n v="81"/>
    <n v="51"/>
    <n v="46"/>
    <n v="5"/>
    <x v="59"/>
    <x v="80"/>
    <x v="2"/>
  </r>
  <r>
    <n v="82"/>
    <n v="41"/>
    <n v="22"/>
    <n v="8"/>
    <x v="60"/>
    <x v="81"/>
    <x v="2"/>
  </r>
  <r>
    <n v="83"/>
    <n v="23"/>
    <n v="12"/>
    <n v="6"/>
    <x v="61"/>
    <x v="82"/>
    <x v="2"/>
  </r>
  <r>
    <n v="84"/>
    <n v="36"/>
    <n v="35"/>
    <n v="5"/>
    <x v="62"/>
    <x v="83"/>
    <x v="2"/>
  </r>
  <r>
    <n v="85"/>
    <n v="102"/>
    <n v="37"/>
    <n v="67"/>
    <x v="63"/>
    <x v="84"/>
    <x v="0"/>
  </r>
  <r>
    <n v="86"/>
    <n v="48"/>
    <n v="14"/>
    <n v="42"/>
    <x v="64"/>
    <x v="85"/>
    <x v="2"/>
  </r>
  <r>
    <n v="87"/>
    <n v="326"/>
    <n v="16"/>
    <n v="286"/>
    <x v="0"/>
    <x v="86"/>
    <x v="1"/>
  </r>
  <r>
    <n v="88"/>
    <n v="303"/>
    <n v="113"/>
    <n v="27"/>
    <x v="61"/>
    <x v="87"/>
    <x v="1"/>
  </r>
  <r>
    <n v="89"/>
    <n v="300"/>
    <n v="24"/>
    <n v="207"/>
    <x v="65"/>
    <x v="88"/>
    <x v="0"/>
  </r>
  <r>
    <n v="90"/>
    <n v="65"/>
    <n v="11"/>
    <n v="52"/>
    <x v="66"/>
    <x v="89"/>
    <x v="2"/>
  </r>
  <r>
    <n v="91"/>
    <n v="258"/>
    <n v="106"/>
    <n v="95"/>
    <x v="67"/>
    <x v="90"/>
    <x v="0"/>
  </r>
  <r>
    <n v="92"/>
    <n v="151"/>
    <n v="86"/>
    <n v="31"/>
    <x v="68"/>
    <x v="91"/>
    <x v="0"/>
  </r>
  <r>
    <n v="93"/>
    <n v="132"/>
    <n v="98"/>
    <n v="11"/>
    <x v="69"/>
    <x v="92"/>
    <x v="0"/>
  </r>
  <r>
    <n v="94"/>
    <n v="116"/>
    <n v="119"/>
    <n v="49"/>
    <x v="70"/>
    <x v="93"/>
    <x v="0"/>
  </r>
  <r>
    <n v="95"/>
    <n v="78"/>
    <n v="114"/>
    <n v="2"/>
    <x v="71"/>
    <x v="94"/>
    <x v="2"/>
  </r>
  <r>
    <n v="96"/>
    <n v="131"/>
    <n v="202"/>
    <n v="43"/>
    <x v="72"/>
    <x v="95"/>
    <x v="0"/>
  </r>
  <r>
    <n v="97"/>
    <n v="36"/>
    <n v="4"/>
    <n v="4"/>
    <x v="73"/>
    <x v="96"/>
    <x v="2"/>
  </r>
  <r>
    <n v="98"/>
    <n v="145"/>
    <n v="12"/>
    <n v="4"/>
    <x v="74"/>
    <x v="97"/>
    <x v="0"/>
  </r>
  <r>
    <n v="99"/>
    <n v="417"/>
    <n v="259"/>
    <n v="194"/>
    <x v="75"/>
    <x v="98"/>
    <x v="1"/>
  </r>
  <r>
    <n v="100"/>
    <n v="70"/>
    <n v="146"/>
    <n v="8"/>
    <x v="29"/>
    <x v="99"/>
    <x v="2"/>
  </r>
  <r>
    <n v="101"/>
    <n v="93"/>
    <n v="128"/>
    <n v="15"/>
    <x v="70"/>
    <x v="100"/>
    <x v="2"/>
  </r>
  <r>
    <n v="102"/>
    <n v="55"/>
    <n v="14"/>
    <n v="2"/>
    <x v="14"/>
    <x v="101"/>
    <x v="2"/>
  </r>
  <r>
    <n v="103"/>
    <n v="98"/>
    <n v="16"/>
    <n v="7"/>
    <x v="76"/>
    <x v="102"/>
    <x v="2"/>
  </r>
  <r>
    <n v="104"/>
    <n v="71"/>
    <n v="23"/>
    <n v="3"/>
    <x v="77"/>
    <x v="103"/>
    <x v="2"/>
  </r>
  <r>
    <n v="105"/>
    <n v="350"/>
    <n v="27"/>
    <n v="11"/>
    <x v="78"/>
    <x v="104"/>
    <x v="1"/>
  </r>
  <r>
    <n v="106"/>
    <n v="364"/>
    <n v="34"/>
    <n v="7"/>
    <x v="79"/>
    <x v="105"/>
    <x v="1"/>
  </r>
  <r>
    <n v="107"/>
    <n v="360"/>
    <n v="68"/>
    <n v="7"/>
    <x v="80"/>
    <x v="106"/>
    <x v="1"/>
  </r>
  <r>
    <n v="108"/>
    <n v="178"/>
    <n v="21"/>
    <n v="1"/>
    <x v="81"/>
    <x v="107"/>
    <x v="0"/>
  </r>
  <r>
    <n v="109"/>
    <n v="357"/>
    <n v="84"/>
    <n v="17"/>
    <x v="82"/>
    <x v="108"/>
    <x v="1"/>
  </r>
  <r>
    <n v="110"/>
    <n v="369"/>
    <n v="95"/>
    <n v="14"/>
    <x v="82"/>
    <x v="109"/>
    <x v="1"/>
  </r>
  <r>
    <n v="111"/>
    <n v="357"/>
    <n v="84"/>
    <n v="17"/>
    <x v="82"/>
    <x v="110"/>
    <x v="1"/>
  </r>
  <r>
    <n v="112"/>
    <n v="351"/>
    <n v="8"/>
    <n v="13"/>
    <x v="83"/>
    <x v="111"/>
    <x v="1"/>
  </r>
  <r>
    <n v="113"/>
    <n v="358"/>
    <n v="55"/>
    <n v="1"/>
    <x v="84"/>
    <x v="112"/>
    <x v="1"/>
  </r>
  <r>
    <n v="114"/>
    <n v="307"/>
    <n v="48"/>
    <n v="1"/>
    <x v="85"/>
    <x v="113"/>
    <x v="1"/>
  </r>
  <r>
    <n v="115"/>
    <n v="356"/>
    <n v="7"/>
    <n v="7"/>
    <x v="86"/>
    <x v="114"/>
    <x v="1"/>
  </r>
  <r>
    <n v="116"/>
    <n v="181"/>
    <n v="4"/>
    <n v="12"/>
    <x v="87"/>
    <x v="115"/>
    <x v="0"/>
  </r>
  <r>
    <n v="117"/>
    <n v="166"/>
    <n v="38"/>
    <n v="1"/>
    <x v="88"/>
    <x v="116"/>
    <x v="0"/>
  </r>
  <r>
    <n v="118"/>
    <n v="360"/>
    <n v="8"/>
    <n v="23"/>
    <x v="89"/>
    <x v="117"/>
    <x v="1"/>
  </r>
  <r>
    <n v="119"/>
    <n v="360"/>
    <n v="8"/>
    <n v="23"/>
    <x v="89"/>
    <x v="118"/>
    <x v="1"/>
  </r>
  <r>
    <n v="120"/>
    <n v="362"/>
    <n v="67"/>
    <n v="7"/>
    <x v="90"/>
    <x v="119"/>
    <x v="1"/>
  </r>
  <r>
    <n v="121"/>
    <n v="163"/>
    <n v="3"/>
    <n v="4"/>
    <x v="91"/>
    <x v="120"/>
    <x v="0"/>
  </r>
  <r>
    <n v="122"/>
    <n v="172"/>
    <n v="3"/>
    <n v="5"/>
    <x v="92"/>
    <x v="121"/>
    <x v="0"/>
  </r>
  <r>
    <n v="123"/>
    <n v="361"/>
    <n v="74"/>
    <n v="8"/>
    <x v="93"/>
    <x v="122"/>
    <x v="1"/>
  </r>
  <r>
    <n v="124"/>
    <n v="361"/>
    <n v="74"/>
    <n v="8"/>
    <x v="93"/>
    <x v="123"/>
    <x v="1"/>
  </r>
  <r>
    <n v="125"/>
    <n v="376"/>
    <n v="75"/>
    <n v="38"/>
    <x v="86"/>
    <x v="124"/>
    <x v="1"/>
  </r>
  <r>
    <n v="126"/>
    <n v="339"/>
    <n v="77"/>
    <n v="44"/>
    <x v="94"/>
    <x v="125"/>
    <x v="1"/>
  </r>
  <r>
    <n v="127"/>
    <n v="362"/>
    <n v="77"/>
    <n v="44"/>
    <x v="94"/>
    <x v="126"/>
    <x v="1"/>
  </r>
  <r>
    <n v="128"/>
    <n v="359"/>
    <n v="75"/>
    <n v="9"/>
    <x v="95"/>
    <x v="127"/>
    <x v="1"/>
  </r>
  <r>
    <n v="129"/>
    <n v="364"/>
    <n v="68"/>
    <n v="6"/>
    <x v="96"/>
    <x v="128"/>
    <x v="1"/>
  </r>
  <r>
    <n v="130"/>
    <n v="353"/>
    <n v="68"/>
    <n v="6"/>
    <x v="97"/>
    <x v="128"/>
    <x v="1"/>
  </r>
  <r>
    <n v="131"/>
    <n v="335"/>
    <n v="74"/>
    <n v="19"/>
    <x v="98"/>
    <x v="129"/>
    <x v="1"/>
  </r>
  <r>
    <n v="132"/>
    <n v="363"/>
    <n v="76"/>
    <n v="11"/>
    <x v="99"/>
    <x v="130"/>
    <x v="1"/>
  </r>
  <r>
    <n v="133"/>
    <n v="344"/>
    <n v="11"/>
    <n v="2"/>
    <x v="100"/>
    <x v="131"/>
    <x v="1"/>
  </r>
  <r>
    <n v="134"/>
    <n v="354"/>
    <n v="78"/>
    <n v="4"/>
    <x v="101"/>
    <x v="132"/>
    <x v="1"/>
  </r>
  <r>
    <n v="135"/>
    <n v="352"/>
    <n v="73"/>
    <n v="9"/>
    <x v="98"/>
    <x v="133"/>
    <x v="1"/>
  </r>
  <r>
    <n v="136"/>
    <n v="145"/>
    <n v="163"/>
    <n v="7"/>
    <x v="102"/>
    <x v="134"/>
    <x v="0"/>
  </r>
  <r>
    <n v="137"/>
    <n v="360"/>
    <n v="47"/>
    <n v="1"/>
    <x v="103"/>
    <x v="135"/>
    <x v="1"/>
  </r>
  <r>
    <n v="138"/>
    <n v="154"/>
    <n v="3"/>
    <n v="45"/>
    <x v="104"/>
    <x v="136"/>
    <x v="0"/>
  </r>
  <r>
    <n v="139"/>
    <n v="381"/>
    <n v="61"/>
    <n v="39"/>
    <x v="105"/>
    <x v="137"/>
    <x v="1"/>
  </r>
  <r>
    <n v="140"/>
    <n v="354"/>
    <n v="5"/>
    <n v="3"/>
    <x v="106"/>
    <x v="138"/>
    <x v="1"/>
  </r>
  <r>
    <n v="141"/>
    <n v="348"/>
    <n v="47"/>
    <n v="1"/>
    <x v="103"/>
    <x v="139"/>
    <x v="1"/>
  </r>
  <r>
    <n v="142"/>
    <n v="562"/>
    <n v="212"/>
    <n v="496"/>
    <x v="107"/>
    <x v="140"/>
    <x v="1"/>
  </r>
  <r>
    <n v="143"/>
    <n v="629"/>
    <n v="215"/>
    <n v="566"/>
    <x v="108"/>
    <x v="141"/>
    <x v="1"/>
  </r>
  <r>
    <n v="144"/>
    <n v="262"/>
    <n v="23"/>
    <n v="54"/>
    <x v="109"/>
    <x v="142"/>
    <x v="0"/>
  </r>
  <r>
    <n v="145"/>
    <n v="199"/>
    <n v="21"/>
    <n v="15"/>
    <x v="110"/>
    <x v="143"/>
    <x v="0"/>
  </r>
  <r>
    <n v="146"/>
    <n v="2257"/>
    <n v="3"/>
    <n v="3"/>
    <x v="111"/>
    <x v="144"/>
    <x v="1"/>
  </r>
  <r>
    <n v="147"/>
    <n v="48"/>
    <n v="6"/>
    <n v="0"/>
    <x v="112"/>
    <x v="145"/>
    <x v="2"/>
  </r>
  <r>
    <n v="148"/>
    <n v="458"/>
    <n v="69"/>
    <n v="144"/>
    <x v="113"/>
    <x v="146"/>
    <x v="1"/>
  </r>
  <r>
    <n v="149"/>
    <n v="42"/>
    <n v="16"/>
    <n v="1"/>
    <x v="114"/>
    <x v="147"/>
    <x v="2"/>
  </r>
  <r>
    <n v="150"/>
    <n v="51"/>
    <n v="3"/>
    <n v="1"/>
    <x v="115"/>
    <x v="148"/>
    <x v="2"/>
  </r>
  <r>
    <n v="151"/>
    <n v="43"/>
    <n v="26"/>
    <n v="0"/>
    <x v="116"/>
    <x v="149"/>
    <x v="2"/>
  </r>
  <r>
    <n v="152"/>
    <n v="245"/>
    <n v="34"/>
    <n v="0"/>
    <x v="117"/>
    <x v="150"/>
    <x v="0"/>
  </r>
  <r>
    <n v="153"/>
    <n v="119"/>
    <n v="44"/>
    <n v="35"/>
    <x v="118"/>
    <x v="151"/>
    <x v="0"/>
  </r>
  <r>
    <n v="154"/>
    <n v="23"/>
    <n v="1"/>
    <n v="8"/>
    <x v="119"/>
    <x v="152"/>
    <x v="2"/>
  </r>
  <r>
    <n v="155"/>
    <n v="22"/>
    <n v="1"/>
    <n v="3"/>
    <x v="120"/>
    <x v="153"/>
    <x v="2"/>
  </r>
  <r>
    <n v="156"/>
    <n v="186"/>
    <n v="117"/>
    <n v="97"/>
    <x v="28"/>
    <x v="154"/>
    <x v="0"/>
  </r>
  <r>
    <n v="157"/>
    <n v="249"/>
    <n v="34"/>
    <n v="4"/>
    <x v="58"/>
    <x v="155"/>
    <x v="0"/>
  </r>
  <r>
    <n v="158"/>
    <n v="400"/>
    <n v="4"/>
    <n v="7"/>
    <x v="121"/>
    <x v="156"/>
    <x v="1"/>
  </r>
  <r>
    <n v="159"/>
    <n v="141"/>
    <n v="153"/>
    <n v="33"/>
    <x v="122"/>
    <x v="157"/>
    <x v="0"/>
  </r>
  <r>
    <n v="160"/>
    <n v="23"/>
    <n v="8"/>
    <n v="2"/>
    <x v="123"/>
    <x v="158"/>
    <x v="2"/>
  </r>
  <r>
    <n v="161"/>
    <n v="110"/>
    <n v="14"/>
    <n v="21"/>
    <x v="124"/>
    <x v="159"/>
    <x v="0"/>
  </r>
  <r>
    <n v="162"/>
    <n v="38"/>
    <n v="15"/>
    <n v="2"/>
    <x v="125"/>
    <x v="160"/>
    <x v="2"/>
  </r>
  <r>
    <n v="163"/>
    <n v="264"/>
    <n v="4"/>
    <n v="11"/>
    <x v="126"/>
    <x v="161"/>
    <x v="0"/>
  </r>
  <r>
    <n v="164"/>
    <n v="39"/>
    <n v="7"/>
    <n v="2"/>
    <x v="127"/>
    <x v="162"/>
    <x v="2"/>
  </r>
  <r>
    <n v="165"/>
    <n v="87"/>
    <n v="26"/>
    <n v="27"/>
    <x v="128"/>
    <x v="163"/>
    <x v="2"/>
  </r>
  <r>
    <n v="166"/>
    <n v="71"/>
    <n v="17"/>
    <n v="31"/>
    <x v="129"/>
    <x v="164"/>
    <x v="2"/>
  </r>
  <r>
    <n v="167"/>
    <n v="56"/>
    <n v="8"/>
    <n v="1"/>
    <x v="130"/>
    <x v="165"/>
    <x v="2"/>
  </r>
  <r>
    <n v="168"/>
    <n v="55"/>
    <n v="12"/>
    <n v="1"/>
    <x v="131"/>
    <x v="166"/>
    <x v="2"/>
  </r>
  <r>
    <n v="169"/>
    <n v="101"/>
    <n v="17"/>
    <n v="6"/>
    <x v="132"/>
    <x v="167"/>
    <x v="0"/>
  </r>
  <r>
    <n v="170"/>
    <n v="78"/>
    <n v="6"/>
    <n v="3"/>
    <x v="133"/>
    <x v="168"/>
    <x v="2"/>
  </r>
  <r>
    <n v="171"/>
    <n v="113"/>
    <n v="8"/>
    <n v="3"/>
    <x v="134"/>
    <x v="169"/>
    <x v="0"/>
  </r>
  <r>
    <n v="172"/>
    <n v="29"/>
    <n v="21"/>
    <n v="7"/>
    <x v="71"/>
    <x v="170"/>
    <x v="2"/>
  </r>
  <r>
    <n v="173"/>
    <n v="67"/>
    <n v="4"/>
    <n v="2"/>
    <x v="135"/>
    <x v="171"/>
    <x v="2"/>
  </r>
  <r>
    <n v="174"/>
    <n v="365"/>
    <n v="496"/>
    <n v="48"/>
    <x v="136"/>
    <x v="172"/>
    <x v="1"/>
  </r>
  <r>
    <n v="175"/>
    <n v="60"/>
    <n v="1"/>
    <n v="60"/>
    <x v="28"/>
    <x v="173"/>
    <x v="2"/>
  </r>
  <r>
    <n v="176"/>
    <n v="167"/>
    <n v="2"/>
    <n v="4"/>
    <x v="137"/>
    <x v="174"/>
    <x v="0"/>
  </r>
  <r>
    <n v="177"/>
    <n v="156"/>
    <n v="23"/>
    <n v="2"/>
    <x v="46"/>
    <x v="175"/>
    <x v="0"/>
  </r>
  <r>
    <n v="178"/>
    <n v="72"/>
    <n v="114"/>
    <n v="49"/>
    <x v="138"/>
    <x v="176"/>
    <x v="2"/>
  </r>
  <r>
    <n v="179"/>
    <n v="212"/>
    <n v="169"/>
    <n v="2"/>
    <x v="139"/>
    <x v="177"/>
    <x v="0"/>
  </r>
  <r>
    <n v="180"/>
    <n v="237"/>
    <n v="147"/>
    <n v="2"/>
    <x v="140"/>
    <x v="178"/>
    <x v="0"/>
  </r>
  <r>
    <n v="181"/>
    <n v="35"/>
    <n v="24"/>
    <n v="2"/>
    <x v="4"/>
    <x v="179"/>
    <x v="2"/>
  </r>
  <r>
    <n v="182"/>
    <n v="60"/>
    <n v="51"/>
    <n v="5"/>
    <x v="141"/>
    <x v="180"/>
    <x v="2"/>
  </r>
  <r>
    <n v="183"/>
    <n v="30"/>
    <n v="22"/>
    <n v="2"/>
    <x v="142"/>
    <x v="181"/>
    <x v="2"/>
  </r>
  <r>
    <n v="184"/>
    <n v="45"/>
    <n v="26"/>
    <n v="3"/>
    <x v="8"/>
    <x v="182"/>
    <x v="2"/>
  </r>
  <r>
    <n v="185"/>
    <n v="42"/>
    <n v="2"/>
    <n v="11"/>
    <x v="70"/>
    <x v="183"/>
    <x v="2"/>
  </r>
  <r>
    <n v="186"/>
    <n v="333"/>
    <n v="293"/>
    <n v="33"/>
    <x v="143"/>
    <x v="184"/>
    <x v="1"/>
  </r>
  <r>
    <n v="187"/>
    <n v="336"/>
    <n v="374"/>
    <n v="13"/>
    <x v="144"/>
    <x v="185"/>
    <x v="1"/>
  </r>
  <r>
    <n v="188"/>
    <n v="368"/>
    <n v="23"/>
    <n v="15"/>
    <x v="145"/>
    <x v="186"/>
    <x v="1"/>
  </r>
  <r>
    <n v="189"/>
    <n v="106"/>
    <n v="44"/>
    <n v="63"/>
    <x v="146"/>
    <x v="187"/>
    <x v="0"/>
  </r>
  <r>
    <n v="190"/>
    <n v="141"/>
    <n v="44"/>
    <n v="102"/>
    <x v="37"/>
    <x v="188"/>
    <x v="0"/>
  </r>
  <r>
    <n v="191"/>
    <n v="1257"/>
    <n v="33"/>
    <n v="19"/>
    <x v="147"/>
    <x v="189"/>
    <x v="1"/>
  </r>
  <r>
    <n v="192"/>
    <n v="281"/>
    <n v="375"/>
    <n v="3"/>
    <x v="20"/>
    <x v="190"/>
    <x v="0"/>
  </r>
  <r>
    <n v="193"/>
    <n v="38"/>
    <n v="16"/>
    <n v="8"/>
    <x v="60"/>
    <x v="191"/>
    <x v="2"/>
  </r>
  <r>
    <n v="194"/>
    <n v="26"/>
    <n v="7"/>
    <n v="3"/>
    <x v="123"/>
    <x v="192"/>
    <x v="2"/>
  </r>
  <r>
    <n v="195"/>
    <n v="367"/>
    <n v="159"/>
    <n v="62"/>
    <x v="148"/>
    <x v="193"/>
    <x v="1"/>
  </r>
  <r>
    <n v="196"/>
    <n v="36"/>
    <n v="1"/>
    <n v="3"/>
    <x v="94"/>
    <x v="194"/>
    <x v="2"/>
  </r>
  <r>
    <n v="197"/>
    <n v="120"/>
    <n v="47"/>
    <n v="24"/>
    <x v="149"/>
    <x v="195"/>
    <x v="0"/>
  </r>
  <r>
    <n v="198"/>
    <n v="20"/>
    <n v="17"/>
    <n v="4"/>
    <x v="150"/>
    <x v="196"/>
    <x v="2"/>
  </r>
  <r>
    <n v="199"/>
    <n v="155"/>
    <n v="201"/>
    <n v="38"/>
    <x v="151"/>
    <x v="197"/>
    <x v="0"/>
  </r>
  <r>
    <n v="200"/>
    <n v="323"/>
    <n v="49"/>
    <n v="115"/>
    <x v="152"/>
    <x v="198"/>
    <x v="1"/>
  </r>
  <r>
    <n v="201"/>
    <n v="102"/>
    <n v="32"/>
    <n v="6"/>
    <x v="153"/>
    <x v="199"/>
    <x v="0"/>
  </r>
  <r>
    <n v="202"/>
    <n v="366"/>
    <n v="11"/>
    <n v="33"/>
    <x v="94"/>
    <x v="200"/>
    <x v="1"/>
  </r>
  <r>
    <n v="203"/>
    <n v="97"/>
    <n v="58"/>
    <n v="63"/>
    <x v="49"/>
    <x v="201"/>
    <x v="2"/>
  </r>
  <r>
    <n v="204"/>
    <n v="24"/>
    <n v="19"/>
    <n v="2"/>
    <x v="61"/>
    <x v="202"/>
    <x v="2"/>
  </r>
  <r>
    <n v="205"/>
    <n v="460"/>
    <n v="8"/>
    <n v="187"/>
    <x v="154"/>
    <x v="203"/>
    <x v="1"/>
  </r>
  <r>
    <n v="206"/>
    <n v="116"/>
    <n v="3"/>
    <n v="4"/>
    <x v="155"/>
    <x v="204"/>
    <x v="0"/>
  </r>
  <r>
    <n v="207"/>
    <n v="330"/>
    <n v="52"/>
    <n v="89"/>
    <x v="156"/>
    <x v="205"/>
    <x v="1"/>
  </r>
  <r>
    <n v="208"/>
    <n v="332"/>
    <n v="11"/>
    <n v="33"/>
    <x v="94"/>
    <x v="206"/>
    <x v="1"/>
  </r>
  <r>
    <n v="209"/>
    <n v="462"/>
    <n v="12"/>
    <n v="207"/>
    <x v="157"/>
    <x v="207"/>
    <x v="1"/>
  </r>
  <r>
    <n v="210"/>
    <n v="168"/>
    <n v="13"/>
    <n v="96"/>
    <x v="125"/>
    <x v="208"/>
    <x v="0"/>
  </r>
  <r>
    <n v="211"/>
    <n v="143"/>
    <n v="98"/>
    <n v="14"/>
    <x v="158"/>
    <x v="209"/>
    <x v="0"/>
  </r>
  <r>
    <n v="212"/>
    <n v="311"/>
    <n v="8"/>
    <n v="4"/>
    <x v="159"/>
    <x v="210"/>
    <x v="1"/>
  </r>
  <r>
    <n v="213"/>
    <n v="472"/>
    <n v="2"/>
    <n v="298"/>
    <x v="160"/>
    <x v="211"/>
    <x v="1"/>
  </r>
  <r>
    <n v="214"/>
    <n v="504"/>
    <n v="55"/>
    <n v="529"/>
    <x v="161"/>
    <x v="212"/>
    <x v="1"/>
  </r>
  <r>
    <n v="215"/>
    <n v="381"/>
    <n v="9"/>
    <n v="35"/>
    <x v="162"/>
    <x v="213"/>
    <x v="1"/>
  </r>
  <r>
    <n v="216"/>
    <n v="210"/>
    <n v="16"/>
    <n v="66"/>
    <x v="163"/>
    <x v="214"/>
    <x v="0"/>
  </r>
  <r>
    <n v="217"/>
    <n v="241"/>
    <n v="16"/>
    <n v="25"/>
    <x v="0"/>
    <x v="215"/>
    <x v="0"/>
  </r>
  <r>
    <n v="218"/>
    <n v="96"/>
    <n v="68"/>
    <n v="59"/>
    <x v="3"/>
    <x v="216"/>
    <x v="2"/>
  </r>
  <r>
    <n v="219"/>
    <n v="84"/>
    <n v="6"/>
    <n v="6"/>
    <x v="138"/>
    <x v="217"/>
    <x v="2"/>
  </r>
  <r>
    <n v="220"/>
    <n v="145"/>
    <n v="27"/>
    <n v="23"/>
    <x v="0"/>
    <x v="218"/>
    <x v="0"/>
  </r>
  <r>
    <n v="221"/>
    <n v="12"/>
    <n v="1"/>
    <n v="1"/>
    <x v="34"/>
    <x v="219"/>
    <x v="2"/>
  </r>
  <r>
    <n v="222"/>
    <n v="265"/>
    <n v="406"/>
    <n v="101"/>
    <x v="0"/>
    <x v="220"/>
    <x v="0"/>
  </r>
  <r>
    <n v="223"/>
    <n v="75"/>
    <n v="161"/>
    <n v="7"/>
    <x v="29"/>
    <x v="221"/>
    <x v="2"/>
  </r>
  <r>
    <n v="224"/>
    <n v="190"/>
    <n v="191"/>
    <n v="12"/>
    <x v="0"/>
    <x v="222"/>
    <x v="0"/>
  </r>
  <r>
    <n v="225"/>
    <n v="191"/>
    <n v="32"/>
    <n v="6"/>
    <x v="0"/>
    <x v="223"/>
    <x v="0"/>
  </r>
  <r>
    <n v="226"/>
    <n v="457"/>
    <n v="116"/>
    <n v="45"/>
    <x v="0"/>
    <x v="224"/>
    <x v="1"/>
  </r>
  <r>
    <n v="227"/>
    <n v="376"/>
    <n v="141"/>
    <n v="35"/>
    <x v="0"/>
    <x v="225"/>
    <x v="1"/>
  </r>
  <r>
    <n v="228"/>
    <n v="206"/>
    <n v="171"/>
    <n v="148"/>
    <x v="0"/>
    <x v="226"/>
    <x v="0"/>
  </r>
  <r>
    <n v="229"/>
    <n v="154"/>
    <n v="166"/>
    <n v="92"/>
    <x v="0"/>
    <x v="227"/>
    <x v="0"/>
  </r>
  <r>
    <n v="230"/>
    <n v="84"/>
    <n v="187"/>
    <n v="5"/>
    <x v="0"/>
    <x v="228"/>
    <x v="2"/>
  </r>
  <r>
    <n v="231"/>
    <n v="118"/>
    <n v="181"/>
    <n v="41"/>
    <x v="164"/>
    <x v="229"/>
    <x v="0"/>
  </r>
  <r>
    <n v="232"/>
    <n v="207"/>
    <n v="188"/>
    <n v="14"/>
    <x v="0"/>
    <x v="230"/>
    <x v="0"/>
  </r>
  <r>
    <n v="233"/>
    <n v="27"/>
    <n v="13"/>
    <n v="6"/>
    <x v="27"/>
    <x v="231"/>
    <x v="2"/>
  </r>
  <r>
    <n v="234"/>
    <n v="29"/>
    <n v="18"/>
    <n v="7"/>
    <x v="123"/>
    <x v="232"/>
    <x v="2"/>
  </r>
  <r>
    <n v="235"/>
    <n v="41"/>
    <n v="2"/>
    <n v="3"/>
    <x v="86"/>
    <x v="233"/>
    <x v="2"/>
  </r>
  <r>
    <n v="236"/>
    <n v="41"/>
    <n v="27"/>
    <n v="1"/>
    <x v="94"/>
    <x v="234"/>
    <x v="2"/>
  </r>
  <r>
    <n v="237"/>
    <n v="50"/>
    <n v="44"/>
    <n v="14"/>
    <x v="86"/>
    <x v="235"/>
    <x v="2"/>
  </r>
  <r>
    <n v="238"/>
    <n v="42"/>
    <n v="18"/>
    <n v="5"/>
    <x v="165"/>
    <x v="236"/>
    <x v="2"/>
  </r>
  <r>
    <n v="239"/>
    <n v="122"/>
    <n v="6"/>
    <n v="1"/>
    <x v="64"/>
    <x v="237"/>
    <x v="0"/>
  </r>
  <r>
    <n v="240"/>
    <n v="60"/>
    <n v="31"/>
    <n v="3"/>
    <x v="138"/>
    <x v="238"/>
    <x v="2"/>
  </r>
  <r>
    <n v="241"/>
    <n v="58"/>
    <n v="29"/>
    <n v="7"/>
    <x v="59"/>
    <x v="239"/>
    <x v="2"/>
  </r>
  <r>
    <n v="242"/>
    <n v="30"/>
    <n v="13"/>
    <n v="7"/>
    <x v="58"/>
    <x v="240"/>
    <x v="2"/>
  </r>
  <r>
    <n v="243"/>
    <n v="50"/>
    <n v="46"/>
    <n v="9"/>
    <x v="25"/>
    <x v="241"/>
    <x v="2"/>
  </r>
  <r>
    <n v="244"/>
    <n v="62"/>
    <n v="42"/>
    <n v="9"/>
    <x v="48"/>
    <x v="242"/>
    <x v="2"/>
  </r>
  <r>
    <n v="245"/>
    <n v="73"/>
    <n v="46"/>
    <n v="5"/>
    <x v="166"/>
    <x v="243"/>
    <x v="2"/>
  </r>
  <r>
    <n v="246"/>
    <n v="34"/>
    <n v="38"/>
    <n v="5"/>
    <x v="10"/>
    <x v="244"/>
    <x v="2"/>
  </r>
  <r>
    <n v="247"/>
    <n v="93"/>
    <n v="5"/>
    <n v="13"/>
    <x v="167"/>
    <x v="245"/>
    <x v="2"/>
  </r>
  <r>
    <n v="248"/>
    <n v="27"/>
    <n v="21"/>
    <n v="7"/>
    <x v="112"/>
    <x v="246"/>
    <x v="2"/>
  </r>
  <r>
    <n v="249"/>
    <n v="36"/>
    <n v="29"/>
    <n v="6"/>
    <x v="11"/>
    <x v="247"/>
    <x v="2"/>
  </r>
  <r>
    <n v="250"/>
    <n v="34"/>
    <n v="41"/>
    <n v="4"/>
    <x v="58"/>
    <x v="248"/>
    <x v="2"/>
  </r>
  <r>
    <n v="251"/>
    <n v="40"/>
    <n v="37"/>
    <n v="3"/>
    <x v="37"/>
    <x v="249"/>
    <x v="2"/>
  </r>
  <r>
    <n v="252"/>
    <n v="30"/>
    <n v="31"/>
    <n v="3"/>
    <x v="58"/>
    <x v="250"/>
    <x v="2"/>
  </r>
  <r>
    <n v="253"/>
    <n v="92"/>
    <n v="4"/>
    <n v="36"/>
    <x v="130"/>
    <x v="251"/>
    <x v="2"/>
  </r>
  <r>
    <n v="254"/>
    <n v="59"/>
    <n v="48"/>
    <n v="1"/>
    <x v="30"/>
    <x v="252"/>
    <x v="2"/>
  </r>
  <r>
    <n v="255"/>
    <n v="53"/>
    <n v="53"/>
    <n v="9"/>
    <x v="129"/>
    <x v="253"/>
    <x v="2"/>
  </r>
  <r>
    <n v="256"/>
    <n v="59"/>
    <n v="64"/>
    <n v="1"/>
    <x v="24"/>
    <x v="254"/>
    <x v="2"/>
  </r>
  <r>
    <n v="257"/>
    <n v="47"/>
    <n v="5"/>
    <n v="5"/>
    <x v="141"/>
    <x v="255"/>
    <x v="2"/>
  </r>
  <r>
    <n v="258"/>
    <n v="59"/>
    <n v="28"/>
    <n v="3"/>
    <x v="168"/>
    <x v="256"/>
    <x v="2"/>
  </r>
  <r>
    <n v="259"/>
    <n v="82"/>
    <n v="67"/>
    <n v="17"/>
    <x v="169"/>
    <x v="257"/>
    <x v="2"/>
  </r>
  <r>
    <n v="260"/>
    <n v="61"/>
    <n v="61"/>
    <n v="9"/>
    <x v="59"/>
    <x v="258"/>
    <x v="2"/>
  </r>
  <r>
    <n v="261"/>
    <n v="46"/>
    <n v="4"/>
    <n v="5"/>
    <x v="170"/>
    <x v="259"/>
    <x v="2"/>
  </r>
  <r>
    <n v="262"/>
    <n v="45"/>
    <n v="37"/>
    <n v="5"/>
    <x v="171"/>
    <x v="260"/>
    <x v="2"/>
  </r>
  <r>
    <n v="263"/>
    <n v="48"/>
    <n v="45"/>
    <n v="8"/>
    <x v="129"/>
    <x v="261"/>
    <x v="2"/>
  </r>
  <r>
    <n v="264"/>
    <n v="22"/>
    <n v="21"/>
    <n v="5"/>
    <x v="71"/>
    <x v="262"/>
    <x v="2"/>
  </r>
  <r>
    <n v="265"/>
    <n v="23"/>
    <n v="3"/>
    <n v="3"/>
    <x v="61"/>
    <x v="263"/>
    <x v="2"/>
  </r>
  <r>
    <n v="266"/>
    <n v="51"/>
    <n v="25"/>
    <n v="11"/>
    <x v="37"/>
    <x v="264"/>
    <x v="2"/>
  </r>
  <r>
    <n v="267"/>
    <n v="14"/>
    <n v="13"/>
    <n v="3"/>
    <x v="172"/>
    <x v="265"/>
    <x v="2"/>
  </r>
  <r>
    <n v="268"/>
    <n v="60"/>
    <n v="4"/>
    <n v="4"/>
    <x v="120"/>
    <x v="266"/>
    <x v="2"/>
  </r>
  <r>
    <n v="269"/>
    <n v="30"/>
    <n v="36"/>
    <n v="6"/>
    <x v="65"/>
    <x v="267"/>
    <x v="2"/>
  </r>
  <r>
    <n v="270"/>
    <n v="87"/>
    <n v="83"/>
    <n v="18"/>
    <x v="173"/>
    <x v="268"/>
    <x v="2"/>
  </r>
  <r>
    <n v="271"/>
    <n v="76"/>
    <n v="28"/>
    <n v="2"/>
    <x v="174"/>
    <x v="269"/>
    <x v="2"/>
  </r>
  <r>
    <n v="272"/>
    <n v="45"/>
    <n v="47"/>
    <n v="5"/>
    <x v="8"/>
    <x v="270"/>
    <x v="2"/>
  </r>
  <r>
    <n v="273"/>
    <n v="30"/>
    <n v="23"/>
    <n v="4"/>
    <x v="58"/>
    <x v="271"/>
    <x v="2"/>
  </r>
  <r>
    <n v="274"/>
    <n v="40"/>
    <n v="3"/>
    <n v="8"/>
    <x v="175"/>
    <x v="272"/>
    <x v="2"/>
  </r>
  <r>
    <n v="275"/>
    <n v="54"/>
    <n v="37"/>
    <n v="3"/>
    <x v="176"/>
    <x v="273"/>
    <x v="2"/>
  </r>
  <r>
    <n v="276"/>
    <n v="71"/>
    <n v="68"/>
    <n v="16"/>
    <x v="177"/>
    <x v="274"/>
    <x v="2"/>
  </r>
  <r>
    <n v="277"/>
    <n v="99"/>
    <n v="5"/>
    <n v="13"/>
    <x v="1"/>
    <x v="275"/>
    <x v="2"/>
  </r>
  <r>
    <n v="278"/>
    <n v="63"/>
    <n v="38"/>
    <n v="15"/>
    <x v="177"/>
    <x v="276"/>
    <x v="2"/>
  </r>
  <r>
    <n v="279"/>
    <n v="166"/>
    <n v="17"/>
    <n v="5"/>
    <x v="178"/>
    <x v="277"/>
    <x v="0"/>
  </r>
  <r>
    <n v="280"/>
    <n v="22"/>
    <n v="1"/>
    <n v="1"/>
    <x v="10"/>
    <x v="278"/>
    <x v="2"/>
  </r>
  <r>
    <n v="281"/>
    <n v="22"/>
    <n v="1"/>
    <n v="1"/>
    <x v="10"/>
    <x v="279"/>
    <x v="2"/>
  </r>
  <r>
    <n v="282"/>
    <n v="35"/>
    <n v="4"/>
    <n v="3"/>
    <x v="142"/>
    <x v="280"/>
    <x v="2"/>
  </r>
  <r>
    <n v="283"/>
    <n v="54"/>
    <n v="22"/>
    <n v="36"/>
    <x v="179"/>
    <x v="281"/>
    <x v="2"/>
  </r>
  <r>
    <n v="284"/>
    <n v="39"/>
    <n v="45"/>
    <n v="4"/>
    <x v="63"/>
    <x v="282"/>
    <x v="2"/>
  </r>
  <r>
    <n v="285"/>
    <n v="53"/>
    <n v="34"/>
    <n v="12"/>
    <x v="119"/>
    <x v="283"/>
    <x v="2"/>
  </r>
  <r>
    <n v="286"/>
    <n v="29"/>
    <n v="34"/>
    <n v="1"/>
    <x v="62"/>
    <x v="284"/>
    <x v="2"/>
  </r>
  <r>
    <n v="287"/>
    <n v="104"/>
    <n v="39"/>
    <n v="6"/>
    <x v="180"/>
    <x v="285"/>
    <x v="0"/>
  </r>
  <r>
    <n v="288"/>
    <n v="49"/>
    <n v="27"/>
    <n v="1"/>
    <x v="181"/>
    <x v="286"/>
    <x v="2"/>
  </r>
  <r>
    <n v="289"/>
    <n v="87"/>
    <n v="8"/>
    <n v="2"/>
    <x v="182"/>
    <x v="287"/>
    <x v="2"/>
  </r>
  <r>
    <n v="290"/>
    <n v="128"/>
    <n v="12"/>
    <n v="65"/>
    <x v="183"/>
    <x v="288"/>
    <x v="0"/>
  </r>
  <r>
    <n v="291"/>
    <n v="37"/>
    <n v="25"/>
    <n v="8"/>
    <x v="63"/>
    <x v="289"/>
    <x v="2"/>
  </r>
  <r>
    <n v="292"/>
    <n v="301"/>
    <n v="142"/>
    <n v="109"/>
    <x v="184"/>
    <x v="290"/>
    <x v="1"/>
  </r>
  <r>
    <n v="293"/>
    <n v="62"/>
    <n v="4"/>
    <n v="5"/>
    <x v="185"/>
    <x v="291"/>
    <x v="2"/>
  </r>
  <r>
    <n v="294"/>
    <n v="45"/>
    <n v="44"/>
    <n v="8"/>
    <x v="34"/>
    <x v="292"/>
    <x v="2"/>
  </r>
  <r>
    <n v="295"/>
    <n v="45"/>
    <n v="44"/>
    <n v="5"/>
    <x v="141"/>
    <x v="293"/>
    <x v="2"/>
  </r>
  <r>
    <n v="296"/>
    <n v="53"/>
    <n v="32"/>
    <n v="25"/>
    <x v="186"/>
    <x v="294"/>
    <x v="2"/>
  </r>
  <r>
    <n v="297"/>
    <n v="68"/>
    <n v="2"/>
    <n v="1"/>
    <x v="187"/>
    <x v="295"/>
    <x v="2"/>
  </r>
  <r>
    <n v="298"/>
    <n v="73"/>
    <n v="68"/>
    <n v="12"/>
    <x v="28"/>
    <x v="296"/>
    <x v="2"/>
  </r>
  <r>
    <n v="299"/>
    <n v="144"/>
    <n v="127"/>
    <n v="12"/>
    <x v="132"/>
    <x v="297"/>
    <x v="0"/>
  </r>
  <r>
    <n v="300"/>
    <n v="50"/>
    <n v="62"/>
    <n v="11"/>
    <x v="188"/>
    <x v="298"/>
    <x v="2"/>
  </r>
  <r>
    <n v="301"/>
    <n v="74"/>
    <n v="63"/>
    <n v="7"/>
    <x v="7"/>
    <x v="299"/>
    <x v="2"/>
  </r>
  <r>
    <n v="302"/>
    <n v="55"/>
    <n v="4"/>
    <n v="5"/>
    <x v="141"/>
    <x v="300"/>
    <x v="2"/>
  </r>
  <r>
    <n v="303"/>
    <n v="31"/>
    <n v="37"/>
    <n v="6"/>
    <x v="189"/>
    <x v="301"/>
    <x v="2"/>
  </r>
  <r>
    <n v="304"/>
    <n v="50"/>
    <n v="62"/>
    <n v="11"/>
    <x v="188"/>
    <x v="302"/>
    <x v="2"/>
  </r>
  <r>
    <n v="305"/>
    <n v="36"/>
    <n v="26"/>
    <n v="9"/>
    <x v="70"/>
    <x v="303"/>
    <x v="2"/>
  </r>
  <r>
    <n v="306"/>
    <n v="27"/>
    <n v="13"/>
    <n v="2"/>
    <x v="190"/>
    <x v="304"/>
    <x v="2"/>
  </r>
  <r>
    <n v="307"/>
    <n v="59"/>
    <n v="3"/>
    <n v="4"/>
    <x v="191"/>
    <x v="305"/>
    <x v="2"/>
  </r>
  <r>
    <n v="308"/>
    <n v="71"/>
    <n v="41"/>
    <n v="21"/>
    <x v="192"/>
    <x v="306"/>
    <x v="2"/>
  </r>
  <r>
    <n v="309"/>
    <n v="27"/>
    <n v="13"/>
    <n v="2"/>
    <x v="190"/>
    <x v="307"/>
    <x v="2"/>
  </r>
  <r>
    <n v="310"/>
    <n v="70"/>
    <n v="29"/>
    <n v="3"/>
    <x v="36"/>
    <x v="308"/>
    <x v="2"/>
  </r>
  <r>
    <n v="311"/>
    <n v="47"/>
    <n v="28"/>
    <n v="4"/>
    <x v="193"/>
    <x v="309"/>
    <x v="2"/>
  </r>
  <r>
    <n v="312"/>
    <n v="56"/>
    <n v="31"/>
    <n v="3"/>
    <x v="28"/>
    <x v="310"/>
    <x v="2"/>
  </r>
  <r>
    <n v="313"/>
    <n v="62"/>
    <n v="37"/>
    <n v="3"/>
    <x v="194"/>
    <x v="311"/>
    <x v="2"/>
  </r>
  <r>
    <n v="314"/>
    <n v="56"/>
    <n v="31"/>
    <n v="3"/>
    <x v="28"/>
    <x v="312"/>
    <x v="2"/>
  </r>
  <r>
    <n v="315"/>
    <n v="48"/>
    <n v="3"/>
    <n v="3"/>
    <x v="2"/>
    <x v="313"/>
    <x v="2"/>
  </r>
  <r>
    <n v="316"/>
    <n v="46"/>
    <n v="28"/>
    <n v="2"/>
    <x v="195"/>
    <x v="314"/>
    <x v="2"/>
  </r>
  <r>
    <n v="317"/>
    <n v="55"/>
    <n v="17"/>
    <n v="1"/>
    <x v="182"/>
    <x v="315"/>
    <x v="2"/>
  </r>
  <r>
    <n v="318"/>
    <n v="260"/>
    <n v="2"/>
    <n v="15"/>
    <x v="10"/>
    <x v="316"/>
    <x v="0"/>
  </r>
  <r>
    <n v="319"/>
    <n v="382"/>
    <n v="557"/>
    <n v="141"/>
    <x v="37"/>
    <x v="317"/>
    <x v="1"/>
  </r>
  <r>
    <n v="320"/>
    <n v="433"/>
    <n v="55"/>
    <n v="9"/>
    <x v="0"/>
    <x v="318"/>
    <x v="1"/>
  </r>
  <r>
    <n v="321"/>
    <n v="598"/>
    <n v="743"/>
    <n v="269"/>
    <x v="48"/>
    <x v="319"/>
    <x v="1"/>
  </r>
  <r>
    <n v="322"/>
    <n v="77"/>
    <n v="138"/>
    <n v="19"/>
    <x v="25"/>
    <x v="320"/>
    <x v="2"/>
  </r>
  <r>
    <n v="323"/>
    <n v="104"/>
    <n v="219"/>
    <n v="11"/>
    <x v="0"/>
    <x v="321"/>
    <x v="0"/>
  </r>
  <r>
    <n v="324"/>
    <n v="248"/>
    <n v="10"/>
    <n v="23"/>
    <x v="196"/>
    <x v="322"/>
    <x v="0"/>
  </r>
  <r>
    <n v="325"/>
    <n v="395"/>
    <n v="3"/>
    <n v="57"/>
    <x v="197"/>
    <x v="323"/>
    <x v="1"/>
  </r>
  <r>
    <n v="326"/>
    <n v="298"/>
    <n v="37"/>
    <n v="21"/>
    <x v="198"/>
    <x v="324"/>
    <x v="0"/>
  </r>
  <r>
    <n v="327"/>
    <n v="368"/>
    <n v="26"/>
    <n v="86"/>
    <x v="199"/>
    <x v="325"/>
    <x v="1"/>
  </r>
  <r>
    <n v="328"/>
    <n v="348"/>
    <n v="4"/>
    <n v="38"/>
    <x v="200"/>
    <x v="326"/>
    <x v="1"/>
  </r>
  <r>
    <n v="329"/>
    <n v="331"/>
    <n v="19"/>
    <n v="76"/>
    <x v="201"/>
    <x v="327"/>
    <x v="1"/>
  </r>
  <r>
    <n v="330"/>
    <n v="373"/>
    <n v="43"/>
    <n v="165"/>
    <x v="202"/>
    <x v="328"/>
    <x v="1"/>
  </r>
  <r>
    <n v="331"/>
    <n v="175"/>
    <n v="33"/>
    <n v="23"/>
    <x v="203"/>
    <x v="329"/>
    <x v="0"/>
  </r>
  <r>
    <n v="332"/>
    <n v="317"/>
    <n v="157"/>
    <n v="277"/>
    <x v="0"/>
    <x v="330"/>
    <x v="1"/>
  </r>
  <r>
    <n v="333"/>
    <n v="202"/>
    <n v="171"/>
    <n v="148"/>
    <x v="0"/>
    <x v="331"/>
    <x v="0"/>
  </r>
  <r>
    <n v="334"/>
    <n v="100"/>
    <n v="166"/>
    <n v="33"/>
    <x v="29"/>
    <x v="332"/>
    <x v="2"/>
  </r>
  <r>
    <n v="335"/>
    <n v="63"/>
    <n v="1"/>
    <n v="2"/>
    <x v="18"/>
    <x v="333"/>
    <x v="2"/>
  </r>
  <r>
    <n v="336"/>
    <n v="134"/>
    <n v="25"/>
    <n v="3"/>
    <x v="72"/>
    <x v="334"/>
    <x v="0"/>
  </r>
  <r>
    <n v="337"/>
    <n v="80"/>
    <n v="5"/>
    <n v="6"/>
    <x v="133"/>
    <x v="335"/>
    <x v="2"/>
  </r>
  <r>
    <n v="338"/>
    <n v="18"/>
    <n v="1"/>
    <n v="2"/>
    <x v="3"/>
    <x v="336"/>
    <x v="2"/>
  </r>
  <r>
    <n v="339"/>
    <n v="98"/>
    <n v="14"/>
    <n v="2"/>
    <x v="204"/>
    <x v="337"/>
    <x v="2"/>
  </r>
  <r>
    <n v="340"/>
    <n v="248"/>
    <n v="362"/>
    <n v="69"/>
    <x v="205"/>
    <x v="338"/>
    <x v="0"/>
  </r>
  <r>
    <n v="341"/>
    <n v="590"/>
    <n v="185"/>
    <n v="57"/>
    <x v="0"/>
    <x v="339"/>
    <x v="1"/>
  </r>
  <r>
    <n v="342"/>
    <n v="345"/>
    <n v="12"/>
    <n v="15"/>
    <x v="206"/>
    <x v="340"/>
    <x v="1"/>
  </r>
  <r>
    <n v="343"/>
    <n v="403"/>
    <n v="106"/>
    <n v="22"/>
    <x v="207"/>
    <x v="341"/>
    <x v="1"/>
  </r>
  <r>
    <n v="344"/>
    <n v="355"/>
    <n v="178"/>
    <n v="46"/>
    <x v="208"/>
    <x v="342"/>
    <x v="1"/>
  </r>
  <r>
    <n v="345"/>
    <n v="122"/>
    <n v="35"/>
    <n v="45"/>
    <x v="209"/>
    <x v="343"/>
    <x v="0"/>
  </r>
  <r>
    <n v="346"/>
    <n v="538"/>
    <n v="136"/>
    <n v="303"/>
    <x v="210"/>
    <x v="344"/>
    <x v="1"/>
  </r>
  <r>
    <n v="347"/>
    <n v="524"/>
    <n v="133"/>
    <n v="292"/>
    <x v="123"/>
    <x v="345"/>
    <x v="1"/>
  </r>
  <r>
    <n v="348"/>
    <n v="565"/>
    <n v="182"/>
    <n v="384"/>
    <x v="211"/>
    <x v="346"/>
    <x v="1"/>
  </r>
  <r>
    <n v="349"/>
    <n v="70"/>
    <n v="6"/>
    <n v="0"/>
    <x v="212"/>
    <x v="347"/>
    <x v="2"/>
  </r>
  <r>
    <n v="350"/>
    <n v="210"/>
    <n v="4"/>
    <n v="125"/>
    <x v="213"/>
    <x v="348"/>
    <x v="0"/>
  </r>
  <r>
    <n v="351"/>
    <n v="1567"/>
    <n v="3"/>
    <n v="17"/>
    <x v="214"/>
    <x v="349"/>
    <x v="1"/>
  </r>
  <r>
    <n v="352"/>
    <n v="152"/>
    <n v="0"/>
    <n v="0"/>
    <x v="215"/>
    <x v="350"/>
    <x v="0"/>
  </r>
  <r>
    <n v="353"/>
    <n v="448"/>
    <n v="0"/>
    <n v="0"/>
    <x v="216"/>
    <x v="351"/>
    <x v="1"/>
  </r>
  <r>
    <n v="354"/>
    <n v="270"/>
    <n v="123"/>
    <n v="159"/>
    <x v="217"/>
    <x v="352"/>
    <x v="0"/>
  </r>
  <r>
    <n v="355"/>
    <n v="322"/>
    <n v="24"/>
    <n v="6"/>
    <x v="218"/>
    <x v="353"/>
    <x v="1"/>
  </r>
  <r>
    <n v="356"/>
    <n v="137"/>
    <n v="61"/>
    <n v="32"/>
    <x v="55"/>
    <x v="354"/>
    <x v="0"/>
  </r>
  <r>
    <n v="357"/>
    <n v="88"/>
    <n v="8"/>
    <n v="3"/>
    <x v="76"/>
    <x v="355"/>
    <x v="2"/>
  </r>
  <r>
    <n v="358"/>
    <n v="101"/>
    <n v="21"/>
    <n v="2"/>
    <x v="219"/>
    <x v="356"/>
    <x v="0"/>
  </r>
  <r>
    <n v="359"/>
    <n v="88"/>
    <n v="6"/>
    <n v="3"/>
    <x v="76"/>
    <x v="357"/>
    <x v="2"/>
  </r>
  <r>
    <n v="360"/>
    <n v="100"/>
    <n v="9"/>
    <n v="3"/>
    <x v="52"/>
    <x v="358"/>
    <x v="2"/>
  </r>
  <r>
    <n v="361"/>
    <n v="18"/>
    <n v="8"/>
    <n v="2"/>
    <x v="102"/>
    <x v="359"/>
    <x v="2"/>
  </r>
  <r>
    <n v="362"/>
    <n v="13"/>
    <n v="3"/>
    <n v="6"/>
    <x v="23"/>
    <x v="360"/>
    <x v="2"/>
  </r>
  <r>
    <n v="363"/>
    <n v="68"/>
    <n v="7"/>
    <n v="1"/>
    <x v="9"/>
    <x v="361"/>
    <x v="2"/>
  </r>
  <r>
    <n v="364"/>
    <n v="100"/>
    <n v="8"/>
    <n v="2"/>
    <x v="220"/>
    <x v="362"/>
    <x v="2"/>
  </r>
  <r>
    <n v="365"/>
    <n v="95"/>
    <n v="1"/>
    <n v="1"/>
    <x v="221"/>
    <x v="363"/>
    <x v="2"/>
  </r>
  <r>
    <n v="366"/>
    <n v="100"/>
    <n v="8"/>
    <n v="2"/>
    <x v="220"/>
    <x v="364"/>
    <x v="2"/>
  </r>
  <r>
    <n v="367"/>
    <n v="77"/>
    <n v="6"/>
    <n v="2"/>
    <x v="222"/>
    <x v="365"/>
    <x v="2"/>
  </r>
  <r>
    <n v="368"/>
    <n v="338"/>
    <n v="15"/>
    <n v="7"/>
    <x v="223"/>
    <x v="366"/>
    <x v="1"/>
  </r>
  <r>
    <n v="369"/>
    <n v="191"/>
    <n v="45"/>
    <n v="15"/>
    <x v="224"/>
    <x v="367"/>
    <x v="0"/>
  </r>
  <r>
    <n v="370"/>
    <n v="347"/>
    <n v="13"/>
    <n v="7"/>
    <x v="225"/>
    <x v="368"/>
    <x v="1"/>
  </r>
  <r>
    <n v="371"/>
    <n v="195"/>
    <n v="4"/>
    <n v="17"/>
    <x v="110"/>
    <x v="369"/>
    <x v="0"/>
  </r>
  <r>
    <n v="372"/>
    <n v="389"/>
    <n v="0"/>
    <n v="0"/>
    <x v="129"/>
    <x v="370"/>
    <x v="1"/>
  </r>
  <r>
    <n v="373"/>
    <n v="95"/>
    <n v="15"/>
    <n v="1"/>
    <x v="226"/>
    <x v="371"/>
    <x v="2"/>
  </r>
  <r>
    <n v="374"/>
    <n v="131"/>
    <n v="11"/>
    <n v="2"/>
    <x v="227"/>
    <x v="372"/>
    <x v="0"/>
  </r>
  <r>
    <n v="375"/>
    <n v="274"/>
    <n v="17"/>
    <n v="54"/>
    <x v="228"/>
    <x v="373"/>
    <x v="0"/>
  </r>
  <r>
    <n v="376"/>
    <n v="407"/>
    <n v="64"/>
    <n v="282"/>
    <x v="75"/>
    <x v="374"/>
    <x v="1"/>
  </r>
  <r>
    <n v="377"/>
    <n v="35"/>
    <n v="17"/>
    <n v="2"/>
    <x v="4"/>
    <x v="375"/>
    <x v="2"/>
  </r>
  <r>
    <n v="378"/>
    <n v="350"/>
    <n v="14"/>
    <n v="144"/>
    <x v="162"/>
    <x v="376"/>
    <x v="1"/>
  </r>
  <r>
    <n v="379"/>
    <n v="462"/>
    <n v="31"/>
    <n v="244"/>
    <x v="229"/>
    <x v="377"/>
    <x v="1"/>
  </r>
  <r>
    <n v="380"/>
    <n v="75"/>
    <n v="82"/>
    <n v="2"/>
    <x v="33"/>
    <x v="378"/>
    <x v="2"/>
  </r>
  <r>
    <n v="381"/>
    <n v="360"/>
    <n v="13"/>
    <n v="64"/>
    <x v="230"/>
    <x v="379"/>
    <x v="1"/>
  </r>
  <r>
    <n v="382"/>
    <n v="1714"/>
    <n v="4"/>
    <n v="4"/>
    <x v="75"/>
    <x v="380"/>
    <x v="1"/>
  </r>
  <r>
    <n v="383"/>
    <n v="144"/>
    <n v="11"/>
    <n v="4"/>
    <x v="231"/>
    <x v="381"/>
    <x v="0"/>
  </r>
  <r>
    <n v="384"/>
    <n v="204"/>
    <n v="5"/>
    <n v="14"/>
    <x v="232"/>
    <x v="382"/>
    <x v="0"/>
  </r>
  <r>
    <n v="385"/>
    <n v="114"/>
    <n v="163"/>
    <n v="46"/>
    <x v="37"/>
    <x v="383"/>
    <x v="0"/>
  </r>
  <r>
    <n v="386"/>
    <n v="105"/>
    <n v="166"/>
    <n v="33"/>
    <x v="29"/>
    <x v="384"/>
    <x v="0"/>
  </r>
  <r>
    <n v="387"/>
    <n v="141"/>
    <n v="15"/>
    <n v="81"/>
    <x v="164"/>
    <x v="385"/>
    <x v="0"/>
  </r>
  <r>
    <n v="388"/>
    <n v="53"/>
    <n v="16"/>
    <n v="16"/>
    <x v="73"/>
    <x v="386"/>
    <x v="2"/>
  </r>
  <r>
    <n v="389"/>
    <n v="160"/>
    <n v="33"/>
    <n v="92"/>
    <x v="23"/>
    <x v="387"/>
    <x v="0"/>
  </r>
  <r>
    <n v="390"/>
    <n v="368"/>
    <n v="0"/>
    <n v="0"/>
    <x v="233"/>
    <x v="388"/>
    <x v="1"/>
  </r>
  <r>
    <n v="391"/>
    <n v="386"/>
    <n v="3"/>
    <n v="10"/>
    <x v="186"/>
    <x v="389"/>
    <x v="1"/>
  </r>
  <r>
    <n v="392"/>
    <n v="356"/>
    <n v="4"/>
    <n v="5"/>
    <x v="234"/>
    <x v="390"/>
    <x v="1"/>
  </r>
  <r>
    <n v="393"/>
    <n v="394"/>
    <n v="0"/>
    <n v="0"/>
    <x v="165"/>
    <x v="391"/>
    <x v="1"/>
  </r>
  <r>
    <n v="394"/>
    <n v="52"/>
    <n v="10"/>
    <n v="5"/>
    <x v="9"/>
    <x v="392"/>
    <x v="2"/>
  </r>
  <r>
    <n v="395"/>
    <n v="106"/>
    <n v="165"/>
    <n v="33"/>
    <x v="235"/>
    <x v="393"/>
    <x v="0"/>
  </r>
  <r>
    <n v="396"/>
    <n v="148"/>
    <n v="10"/>
    <n v="98"/>
    <x v="34"/>
    <x v="394"/>
    <x v="0"/>
  </r>
  <r>
    <n v="397"/>
    <n v="126"/>
    <n v="42"/>
    <n v="94"/>
    <x v="236"/>
    <x v="395"/>
    <x v="0"/>
  </r>
  <r>
    <n v="398"/>
    <n v="110"/>
    <n v="59"/>
    <n v="82"/>
    <x v="75"/>
    <x v="396"/>
    <x v="0"/>
  </r>
  <r>
    <n v="399"/>
    <n v="143"/>
    <n v="4"/>
    <n v="114"/>
    <x v="33"/>
    <x v="397"/>
    <x v="0"/>
  </r>
  <r>
    <n v="400"/>
    <n v="176"/>
    <n v="73"/>
    <n v="149"/>
    <x v="75"/>
    <x v="398"/>
    <x v="0"/>
  </r>
  <r>
    <n v="401"/>
    <n v="132"/>
    <n v="9"/>
    <n v="72"/>
    <x v="86"/>
    <x v="399"/>
    <x v="0"/>
  </r>
  <r>
    <n v="402"/>
    <n v="192"/>
    <n v="127"/>
    <n v="101"/>
    <x v="237"/>
    <x v="400"/>
    <x v="0"/>
  </r>
  <r>
    <n v="403"/>
    <n v="218"/>
    <n v="5"/>
    <n v="25"/>
    <x v="238"/>
    <x v="401"/>
    <x v="0"/>
  </r>
  <r>
    <n v="404"/>
    <n v="389"/>
    <n v="169"/>
    <n v="35"/>
    <x v="32"/>
    <x v="402"/>
    <x v="1"/>
  </r>
  <r>
    <n v="405"/>
    <n v="65"/>
    <n v="10"/>
    <n v="1"/>
    <x v="66"/>
    <x v="403"/>
    <x v="2"/>
  </r>
  <r>
    <n v="406"/>
    <n v="134"/>
    <n v="197"/>
    <n v="48"/>
    <x v="31"/>
    <x v="404"/>
    <x v="0"/>
  </r>
  <r>
    <n v="407"/>
    <n v="136"/>
    <n v="197"/>
    <n v="32"/>
    <x v="33"/>
    <x v="405"/>
    <x v="0"/>
  </r>
  <r>
    <n v="408"/>
    <n v="390"/>
    <n v="142"/>
    <n v="74"/>
    <x v="239"/>
    <x v="406"/>
    <x v="1"/>
  </r>
  <r>
    <n v="409"/>
    <n v="127"/>
    <n v="12"/>
    <n v="5"/>
    <x v="240"/>
    <x v="407"/>
    <x v="0"/>
  </r>
  <r>
    <n v="410"/>
    <n v="146"/>
    <n v="177"/>
    <n v="59"/>
    <x v="140"/>
    <x v="408"/>
    <x v="0"/>
  </r>
  <r>
    <n v="411"/>
    <n v="380"/>
    <n v="336"/>
    <n v="275"/>
    <x v="0"/>
    <x v="409"/>
    <x v="1"/>
  </r>
  <r>
    <n v="412"/>
    <n v="456"/>
    <n v="465"/>
    <n v="244"/>
    <x v="0"/>
    <x v="410"/>
    <x v="1"/>
  </r>
  <r>
    <n v="413"/>
    <n v="348"/>
    <n v="187"/>
    <n v="295"/>
    <x v="0"/>
    <x v="411"/>
    <x v="1"/>
  </r>
  <r>
    <n v="414"/>
    <n v="193"/>
    <n v="42"/>
    <n v="15"/>
    <x v="0"/>
    <x v="412"/>
    <x v="0"/>
  </r>
  <r>
    <n v="415"/>
    <n v="430"/>
    <n v="582"/>
    <n v="236"/>
    <x v="0"/>
    <x v="413"/>
    <x v="1"/>
  </r>
  <r>
    <n v="416"/>
    <n v="652"/>
    <n v="404"/>
    <n v="543"/>
    <x v="0"/>
    <x v="414"/>
    <x v="1"/>
  </r>
  <r>
    <n v="417"/>
    <n v="319"/>
    <n v="69"/>
    <n v="317"/>
    <x v="0"/>
    <x v="415"/>
    <x v="1"/>
  </r>
  <r>
    <n v="418"/>
    <n v="430"/>
    <n v="334"/>
    <n v="324"/>
    <x v="0"/>
    <x v="416"/>
    <x v="1"/>
  </r>
  <r>
    <n v="419"/>
    <n v="198"/>
    <n v="19"/>
    <n v="13"/>
    <x v="0"/>
    <x v="417"/>
    <x v="0"/>
  </r>
  <r>
    <n v="420"/>
    <n v="107"/>
    <n v="165"/>
    <n v="39"/>
    <x v="26"/>
    <x v="418"/>
    <x v="0"/>
  </r>
  <r>
    <n v="421"/>
    <n v="112"/>
    <n v="20"/>
    <n v="13"/>
    <x v="61"/>
    <x v="419"/>
    <x v="0"/>
  </r>
  <r>
    <n v="422"/>
    <n v="129"/>
    <n v="20"/>
    <n v="48"/>
    <x v="0"/>
    <x v="420"/>
    <x v="0"/>
  </r>
  <r>
    <n v="423"/>
    <n v="296"/>
    <n v="171"/>
    <n v="203"/>
    <x v="216"/>
    <x v="421"/>
    <x v="0"/>
  </r>
  <r>
    <n v="424"/>
    <n v="111"/>
    <n v="194"/>
    <n v="9"/>
    <x v="189"/>
    <x v="422"/>
    <x v="0"/>
  </r>
  <r>
    <n v="425"/>
    <n v="78"/>
    <n v="145"/>
    <n v="6"/>
    <x v="61"/>
    <x v="423"/>
    <x v="2"/>
  </r>
  <r>
    <n v="426"/>
    <n v="144"/>
    <n v="178"/>
    <n v="58"/>
    <x v="123"/>
    <x v="424"/>
    <x v="0"/>
  </r>
  <r>
    <n v="427"/>
    <n v="123"/>
    <n v="151"/>
    <n v="55"/>
    <x v="137"/>
    <x v="425"/>
    <x v="0"/>
  </r>
  <r>
    <n v="428"/>
    <n v="96"/>
    <n v="19"/>
    <n v="17"/>
    <x v="0"/>
    <x v="426"/>
    <x v="2"/>
  </r>
  <r>
    <n v="429"/>
    <n v="138"/>
    <n v="14"/>
    <n v="7"/>
    <x v="175"/>
    <x v="427"/>
    <x v="0"/>
  </r>
  <r>
    <n v="430"/>
    <n v="128"/>
    <n v="18"/>
    <n v="3"/>
    <x v="119"/>
    <x v="428"/>
    <x v="0"/>
  </r>
  <r>
    <n v="431"/>
    <n v="80"/>
    <n v="147"/>
    <n v="14"/>
    <x v="241"/>
    <x v="429"/>
    <x v="2"/>
  </r>
  <r>
    <n v="432"/>
    <n v="417"/>
    <n v="259"/>
    <n v="194"/>
    <x v="75"/>
    <x v="430"/>
    <x v="1"/>
  </r>
  <r>
    <n v="433"/>
    <n v="82"/>
    <n v="67"/>
    <n v="1"/>
    <x v="130"/>
    <x v="431"/>
    <x v="2"/>
  </r>
  <r>
    <n v="434"/>
    <n v="66"/>
    <n v="14"/>
    <n v="0"/>
    <x v="0"/>
    <x v="432"/>
    <x v="2"/>
  </r>
  <r>
    <n v="435"/>
    <n v="90"/>
    <n v="149"/>
    <n v="25"/>
    <x v="55"/>
    <x v="433"/>
    <x v="2"/>
  </r>
  <r>
    <n v="436"/>
    <n v="88"/>
    <n v="142"/>
    <n v="7"/>
    <x v="236"/>
    <x v="434"/>
    <x v="2"/>
  </r>
  <r>
    <n v="437"/>
    <n v="100"/>
    <n v="147"/>
    <n v="24"/>
    <x v="184"/>
    <x v="435"/>
    <x v="2"/>
  </r>
  <r>
    <n v="438"/>
    <n v="134"/>
    <n v="255"/>
    <n v="13"/>
    <x v="34"/>
    <x v="436"/>
    <x v="0"/>
  </r>
  <r>
    <n v="439"/>
    <n v="204"/>
    <n v="342"/>
    <n v="56"/>
    <x v="242"/>
    <x v="437"/>
    <x v="0"/>
  </r>
  <r>
    <n v="440"/>
    <n v="198"/>
    <n v="365"/>
    <n v="22"/>
    <x v="243"/>
    <x v="438"/>
    <x v="0"/>
  </r>
  <r>
    <n v="441"/>
    <n v="120"/>
    <n v="113"/>
    <n v="39"/>
    <x v="59"/>
    <x v="439"/>
    <x v="0"/>
  </r>
  <r>
    <n v="442"/>
    <n v="116"/>
    <n v="112"/>
    <n v="12"/>
    <x v="151"/>
    <x v="440"/>
    <x v="0"/>
  </r>
  <r>
    <n v="443"/>
    <n v="86"/>
    <n v="102"/>
    <n v="11"/>
    <x v="153"/>
    <x v="441"/>
    <x v="2"/>
  </r>
  <r>
    <n v="444"/>
    <n v="107"/>
    <n v="196"/>
    <n v="7"/>
    <x v="243"/>
    <x v="442"/>
    <x v="0"/>
  </r>
  <r>
    <n v="445"/>
    <n v="81"/>
    <n v="114"/>
    <n v="19"/>
    <x v="3"/>
    <x v="443"/>
    <x v="2"/>
  </r>
  <r>
    <n v="446"/>
    <n v="101"/>
    <n v="115"/>
    <n v="41"/>
    <x v="244"/>
    <x v="444"/>
    <x v="0"/>
  </r>
  <r>
    <n v="447"/>
    <n v="109"/>
    <n v="17"/>
    <n v="4"/>
    <x v="0"/>
    <x v="445"/>
    <x v="0"/>
  </r>
  <r>
    <n v="448"/>
    <n v="261"/>
    <n v="381"/>
    <n v="23"/>
    <x v="245"/>
    <x v="446"/>
    <x v="0"/>
  </r>
  <r>
    <n v="449"/>
    <n v="292"/>
    <n v="58"/>
    <n v="4"/>
    <x v="0"/>
    <x v="447"/>
    <x v="0"/>
  </r>
  <r>
    <n v="450"/>
    <n v="74"/>
    <n v="252"/>
    <n v="17"/>
    <x v="0"/>
    <x v="448"/>
    <x v="2"/>
  </r>
  <r>
    <n v="451"/>
    <n v="267"/>
    <n v="231"/>
    <n v="194"/>
    <x v="38"/>
    <x v="449"/>
    <x v="0"/>
  </r>
  <r>
    <n v="452"/>
    <n v="101"/>
    <n v="103"/>
    <n v="37"/>
    <x v="246"/>
    <x v="450"/>
    <x v="0"/>
  </r>
  <r>
    <n v="453"/>
    <n v="298"/>
    <n v="463"/>
    <n v="36"/>
    <x v="247"/>
    <x v="451"/>
    <x v="0"/>
  </r>
  <r>
    <n v="454"/>
    <n v="57"/>
    <n v="107"/>
    <n v="3"/>
    <x v="241"/>
    <x v="452"/>
    <x v="2"/>
  </r>
  <r>
    <n v="455"/>
    <n v="77"/>
    <n v="156"/>
    <n v="9"/>
    <x v="23"/>
    <x v="453"/>
    <x v="2"/>
  </r>
  <r>
    <n v="456"/>
    <n v="92"/>
    <n v="20"/>
    <n v="7"/>
    <x v="0"/>
    <x v="454"/>
    <x v="2"/>
  </r>
  <r>
    <n v="457"/>
    <n v="82"/>
    <n v="114"/>
    <n v="12"/>
    <x v="142"/>
    <x v="455"/>
    <x v="2"/>
  </r>
  <r>
    <n v="458"/>
    <n v="132"/>
    <n v="17"/>
    <n v="67"/>
    <x v="37"/>
    <x v="456"/>
    <x v="0"/>
  </r>
  <r>
    <n v="459"/>
    <n v="162"/>
    <n v="317"/>
    <n v="28"/>
    <x v="32"/>
    <x v="457"/>
    <x v="0"/>
  </r>
  <r>
    <n v="460"/>
    <n v="110"/>
    <n v="126"/>
    <n v="42"/>
    <x v="248"/>
    <x v="458"/>
    <x v="0"/>
  </r>
  <r>
    <n v="461"/>
    <n v="302"/>
    <n v="707"/>
    <n v="19"/>
    <x v="27"/>
    <x v="459"/>
    <x v="1"/>
  </r>
  <r>
    <n v="462"/>
    <n v="103"/>
    <n v="22"/>
    <n v="1"/>
    <x v="0"/>
    <x v="460"/>
    <x v="0"/>
  </r>
  <r>
    <n v="463"/>
    <n v="70"/>
    <n v="108"/>
    <n v="7"/>
    <x v="123"/>
    <x v="461"/>
    <x v="2"/>
  </r>
  <r>
    <n v="464"/>
    <n v="147"/>
    <n v="175"/>
    <n v="65"/>
    <x v="248"/>
    <x v="462"/>
    <x v="0"/>
  </r>
  <r>
    <n v="465"/>
    <n v="109"/>
    <n v="22"/>
    <n v="17"/>
    <x v="0"/>
    <x v="463"/>
    <x v="0"/>
  </r>
  <r>
    <n v="466"/>
    <n v="82"/>
    <n v="18"/>
    <n v="1"/>
    <x v="27"/>
    <x v="464"/>
    <x v="2"/>
  </r>
  <r>
    <n v="467"/>
    <n v="90"/>
    <n v="204"/>
    <n v="9"/>
    <x v="0"/>
    <x v="465"/>
    <x v="2"/>
  </r>
  <r>
    <n v="468"/>
    <n v="252"/>
    <n v="199"/>
    <n v="191"/>
    <x v="0"/>
    <x v="466"/>
    <x v="0"/>
  </r>
  <r>
    <n v="469"/>
    <n v="112"/>
    <n v="20"/>
    <n v="3"/>
    <x v="0"/>
    <x v="467"/>
    <x v="0"/>
  </r>
  <r>
    <n v="470"/>
    <n v="104"/>
    <n v="156"/>
    <n v="32"/>
    <x v="38"/>
    <x v="468"/>
    <x v="0"/>
  </r>
  <r>
    <n v="471"/>
    <n v="258"/>
    <n v="403"/>
    <n v="23"/>
    <x v="212"/>
    <x v="469"/>
    <x v="0"/>
  </r>
  <r>
    <n v="472"/>
    <n v="99"/>
    <n v="206"/>
    <n v="14"/>
    <x v="164"/>
    <x v="470"/>
    <x v="2"/>
  </r>
  <r>
    <n v="473"/>
    <n v="86"/>
    <n v="16"/>
    <n v="2"/>
    <x v="0"/>
    <x v="471"/>
    <x v="2"/>
  </r>
  <r>
    <n v="474"/>
    <n v="188"/>
    <n v="193"/>
    <n v="122"/>
    <x v="0"/>
    <x v="472"/>
    <x v="0"/>
  </r>
  <r>
    <n v="475"/>
    <n v="209"/>
    <n v="152"/>
    <n v="113"/>
    <x v="176"/>
    <x v="473"/>
    <x v="0"/>
  </r>
  <r>
    <n v="476"/>
    <n v="97"/>
    <n v="179"/>
    <n v="2"/>
    <x v="27"/>
    <x v="474"/>
    <x v="2"/>
  </r>
  <r>
    <n v="477"/>
    <n v="598"/>
    <n v="743"/>
    <n v="269"/>
    <x v="48"/>
    <x v="475"/>
    <x v="1"/>
  </r>
  <r>
    <n v="478"/>
    <n v="582"/>
    <n v="683"/>
    <n v="152"/>
    <x v="249"/>
    <x v="476"/>
    <x v="1"/>
  </r>
  <r>
    <n v="479"/>
    <n v="416"/>
    <n v="469"/>
    <n v="239"/>
    <x v="0"/>
    <x v="477"/>
    <x v="1"/>
  </r>
  <r>
    <n v="480"/>
    <n v="121"/>
    <n v="217"/>
    <n v="28"/>
    <x v="37"/>
    <x v="478"/>
    <x v="0"/>
  </r>
  <r>
    <n v="481"/>
    <n v="89"/>
    <n v="187"/>
    <n v="1"/>
    <x v="0"/>
    <x v="479"/>
    <x v="2"/>
  </r>
  <r>
    <n v="482"/>
    <n v="154"/>
    <n v="168"/>
    <n v="5"/>
    <x v="185"/>
    <x v="480"/>
    <x v="0"/>
  </r>
  <r>
    <n v="483"/>
    <n v="125"/>
    <n v="213"/>
    <n v="34"/>
    <x v="241"/>
    <x v="481"/>
    <x v="0"/>
  </r>
  <r>
    <n v="484"/>
    <n v="152"/>
    <n v="176"/>
    <n v="61"/>
    <x v="246"/>
    <x v="482"/>
    <x v="0"/>
  </r>
  <r>
    <n v="485"/>
    <n v="120"/>
    <n v="143"/>
    <n v="49"/>
    <x v="244"/>
    <x v="483"/>
    <x v="0"/>
  </r>
  <r>
    <n v="486"/>
    <n v="144"/>
    <n v="175"/>
    <n v="63"/>
    <x v="250"/>
    <x v="484"/>
    <x v="0"/>
  </r>
  <r>
    <n v="487"/>
    <n v="132"/>
    <n v="17"/>
    <n v="66"/>
    <x v="30"/>
    <x v="485"/>
    <x v="0"/>
  </r>
  <r>
    <n v="488"/>
    <n v="156"/>
    <n v="28"/>
    <n v="4"/>
    <x v="38"/>
    <x v="486"/>
    <x v="0"/>
  </r>
  <r>
    <n v="489"/>
    <n v="176"/>
    <n v="32"/>
    <n v="44"/>
    <x v="0"/>
    <x v="487"/>
    <x v="0"/>
  </r>
  <r>
    <n v="490"/>
    <n v="157"/>
    <n v="28"/>
    <n v="42"/>
    <x v="9"/>
    <x v="488"/>
    <x v="0"/>
  </r>
  <r>
    <n v="491"/>
    <n v="170"/>
    <n v="31"/>
    <n v="42"/>
    <x v="0"/>
    <x v="489"/>
    <x v="0"/>
  </r>
  <r>
    <n v="492"/>
    <n v="153"/>
    <n v="30"/>
    <n v="28"/>
    <x v="0"/>
    <x v="490"/>
    <x v="0"/>
  </r>
  <r>
    <n v="493"/>
    <n v="142"/>
    <n v="27"/>
    <n v="3"/>
    <x v="0"/>
    <x v="491"/>
    <x v="0"/>
  </r>
  <r>
    <n v="494"/>
    <n v="415"/>
    <n v="613"/>
    <n v="176"/>
    <x v="251"/>
    <x v="492"/>
    <x v="1"/>
  </r>
  <r>
    <n v="495"/>
    <n v="534"/>
    <n v="402"/>
    <n v="393"/>
    <x v="184"/>
    <x v="493"/>
    <x v="1"/>
  </r>
  <r>
    <n v="496"/>
    <n v="284"/>
    <n v="341"/>
    <n v="99"/>
    <x v="252"/>
    <x v="494"/>
    <x v="0"/>
  </r>
  <r>
    <n v="497"/>
    <n v="113"/>
    <n v="139"/>
    <n v="49"/>
    <x v="150"/>
    <x v="495"/>
    <x v="0"/>
  </r>
  <r>
    <n v="498"/>
    <n v="240"/>
    <n v="217"/>
    <n v="77"/>
    <x v="69"/>
    <x v="496"/>
    <x v="0"/>
  </r>
  <r>
    <n v="499"/>
    <n v="109"/>
    <n v="199"/>
    <n v="18"/>
    <x v="150"/>
    <x v="497"/>
    <x v="0"/>
  </r>
  <r>
    <n v="500"/>
    <n v="113"/>
    <n v="17"/>
    <n v="45"/>
    <x v="0"/>
    <x v="498"/>
    <x v="0"/>
  </r>
  <r>
    <n v="501"/>
    <n v="194"/>
    <n v="38"/>
    <n v="35"/>
    <x v="0"/>
    <x v="499"/>
    <x v="0"/>
  </r>
  <r>
    <n v="502"/>
    <n v="138"/>
    <n v="27"/>
    <n v="33"/>
    <x v="0"/>
    <x v="500"/>
    <x v="0"/>
  </r>
  <r>
    <n v="503"/>
    <n v="100"/>
    <n v="188"/>
    <n v="22"/>
    <x v="0"/>
    <x v="501"/>
    <x v="2"/>
  </r>
  <r>
    <n v="504"/>
    <n v="289"/>
    <n v="38"/>
    <n v="14"/>
    <x v="0"/>
    <x v="502"/>
    <x v="0"/>
  </r>
  <r>
    <n v="505"/>
    <n v="84"/>
    <n v="152"/>
    <n v="6"/>
    <x v="120"/>
    <x v="503"/>
    <x v="2"/>
  </r>
  <r>
    <n v="506"/>
    <n v="81"/>
    <n v="114"/>
    <n v="19"/>
    <x v="3"/>
    <x v="504"/>
    <x v="2"/>
  </r>
  <r>
    <n v="507"/>
    <n v="199"/>
    <n v="341"/>
    <n v="38"/>
    <x v="188"/>
    <x v="505"/>
    <x v="0"/>
  </r>
  <r>
    <n v="508"/>
    <n v="111"/>
    <n v="133"/>
    <n v="34"/>
    <x v="246"/>
    <x v="506"/>
    <x v="0"/>
  </r>
  <r>
    <n v="509"/>
    <n v="88"/>
    <n v="159"/>
    <n v="9"/>
    <x v="102"/>
    <x v="507"/>
    <x v="2"/>
  </r>
  <r>
    <n v="510"/>
    <n v="96"/>
    <n v="195"/>
    <n v="11"/>
    <x v="38"/>
    <x v="508"/>
    <x v="2"/>
  </r>
  <r>
    <n v="511"/>
    <n v="95"/>
    <n v="158"/>
    <n v="7"/>
    <x v="62"/>
    <x v="509"/>
    <x v="2"/>
  </r>
  <r>
    <n v="512"/>
    <n v="358"/>
    <n v="207"/>
    <n v="264"/>
    <x v="165"/>
    <x v="510"/>
    <x v="1"/>
  </r>
  <r>
    <n v="513"/>
    <n v="204"/>
    <n v="16"/>
    <n v="15"/>
    <x v="0"/>
    <x v="511"/>
    <x v="0"/>
  </r>
  <r>
    <n v="514"/>
    <n v="101"/>
    <n v="151"/>
    <n v="41"/>
    <x v="29"/>
    <x v="512"/>
    <x v="0"/>
  </r>
  <r>
    <n v="515"/>
    <n v="316"/>
    <n v="601"/>
    <n v="65"/>
    <x v="226"/>
    <x v="513"/>
    <x v="1"/>
  </r>
  <r>
    <n v="516"/>
    <n v="98"/>
    <n v="196"/>
    <n v="17"/>
    <x v="29"/>
    <x v="514"/>
    <x v="2"/>
  </r>
  <r>
    <n v="517"/>
    <n v="277"/>
    <n v="60"/>
    <n v="23"/>
    <x v="9"/>
    <x v="515"/>
    <x v="0"/>
  </r>
  <r>
    <n v="518"/>
    <n v="170"/>
    <n v="334"/>
    <n v="3"/>
    <x v="0"/>
    <x v="516"/>
    <x v="0"/>
  </r>
  <r>
    <n v="519"/>
    <n v="331"/>
    <n v="687"/>
    <n v="42"/>
    <x v="0"/>
    <x v="517"/>
    <x v="1"/>
  </r>
  <r>
    <n v="520"/>
    <n v="144"/>
    <n v="325"/>
    <n v="6"/>
    <x v="0"/>
    <x v="518"/>
    <x v="0"/>
  </r>
  <r>
    <n v="521"/>
    <n v="74"/>
    <n v="103"/>
    <n v="14"/>
    <x v="102"/>
    <x v="519"/>
    <x v="2"/>
  </r>
  <r>
    <n v="522"/>
    <n v="347"/>
    <n v="488"/>
    <n v="64"/>
    <x v="53"/>
    <x v="520"/>
    <x v="1"/>
  </r>
  <r>
    <n v="523"/>
    <n v="82"/>
    <n v="174"/>
    <n v="4"/>
    <x v="172"/>
    <x v="521"/>
    <x v="2"/>
  </r>
  <r>
    <n v="524"/>
    <n v="100"/>
    <n v="137"/>
    <n v="15"/>
    <x v="37"/>
    <x v="522"/>
    <x v="2"/>
  </r>
  <r>
    <n v="525"/>
    <n v="96"/>
    <n v="192"/>
    <n v="2"/>
    <x v="38"/>
    <x v="523"/>
    <x v="2"/>
  </r>
  <r>
    <n v="526"/>
    <n v="474"/>
    <n v="76"/>
    <n v="216"/>
    <x v="253"/>
    <x v="524"/>
    <x v="1"/>
  </r>
  <r>
    <n v="527"/>
    <n v="496"/>
    <n v="303"/>
    <n v="335"/>
    <x v="222"/>
    <x v="525"/>
    <x v="1"/>
  </r>
  <r>
    <n v="528"/>
    <n v="156"/>
    <n v="27"/>
    <n v="13"/>
    <x v="254"/>
    <x v="526"/>
    <x v="0"/>
  </r>
  <r>
    <n v="529"/>
    <n v="361"/>
    <n v="87"/>
    <n v="45"/>
    <x v="255"/>
    <x v="527"/>
    <x v="1"/>
  </r>
  <r>
    <n v="530"/>
    <n v="129"/>
    <n v="41"/>
    <n v="13"/>
    <x v="256"/>
    <x v="528"/>
    <x v="0"/>
  </r>
  <r>
    <n v="531"/>
    <n v="307"/>
    <n v="79"/>
    <n v="34"/>
    <x v="42"/>
    <x v="529"/>
    <x v="1"/>
  </r>
  <r>
    <n v="532"/>
    <n v="366"/>
    <n v="98"/>
    <n v="73"/>
    <x v="257"/>
    <x v="530"/>
    <x v="1"/>
  </r>
  <r>
    <n v="533"/>
    <n v="355"/>
    <n v="92"/>
    <n v="39"/>
    <x v="258"/>
    <x v="531"/>
    <x v="1"/>
  </r>
  <r>
    <n v="534"/>
    <n v="154"/>
    <n v="38"/>
    <n v="35"/>
    <x v="259"/>
    <x v="532"/>
    <x v="0"/>
  </r>
  <r>
    <n v="535"/>
    <n v="140"/>
    <n v="47"/>
    <n v="13"/>
    <x v="260"/>
    <x v="533"/>
    <x v="0"/>
  </r>
  <r>
    <n v="536"/>
    <n v="355"/>
    <n v="92"/>
    <n v="39"/>
    <x v="258"/>
    <x v="534"/>
    <x v="1"/>
  </r>
  <r>
    <n v="537"/>
    <n v="35"/>
    <n v="22"/>
    <n v="1"/>
    <x v="175"/>
    <x v="535"/>
    <x v="2"/>
  </r>
  <r>
    <n v="538"/>
    <n v="147"/>
    <n v="51"/>
    <n v="7"/>
    <x v="261"/>
    <x v="536"/>
    <x v="0"/>
  </r>
  <r>
    <n v="539"/>
    <n v="142"/>
    <n v="5"/>
    <n v="7"/>
    <x v="256"/>
    <x v="537"/>
    <x v="0"/>
  </r>
  <r>
    <n v="540"/>
    <n v="367"/>
    <n v="62"/>
    <n v="51"/>
    <x v="98"/>
    <x v="538"/>
    <x v="1"/>
  </r>
  <r>
    <n v="541"/>
    <n v="368"/>
    <n v="55"/>
    <n v="46"/>
    <x v="86"/>
    <x v="539"/>
    <x v="1"/>
  </r>
  <r>
    <n v="542"/>
    <n v="361"/>
    <n v="87"/>
    <n v="45"/>
    <x v="255"/>
    <x v="540"/>
    <x v="1"/>
  </r>
  <r>
    <n v="543"/>
    <n v="129"/>
    <n v="41"/>
    <n v="13"/>
    <x v="256"/>
    <x v="541"/>
    <x v="0"/>
  </r>
  <r>
    <n v="544"/>
    <n v="307"/>
    <n v="79"/>
    <n v="34"/>
    <x v="42"/>
    <x v="542"/>
    <x v="1"/>
  </r>
  <r>
    <n v="545"/>
    <n v="355"/>
    <n v="92"/>
    <n v="39"/>
    <x v="258"/>
    <x v="543"/>
    <x v="1"/>
  </r>
  <r>
    <n v="546"/>
    <n v="140"/>
    <n v="47"/>
    <n v="13"/>
    <x v="260"/>
    <x v="544"/>
    <x v="0"/>
  </r>
  <r>
    <n v="547"/>
    <n v="175"/>
    <n v="18"/>
    <n v="18"/>
    <x v="66"/>
    <x v="545"/>
    <x v="0"/>
  </r>
  <r>
    <n v="548"/>
    <n v="1489"/>
    <n v="104"/>
    <n v="104"/>
    <x v="262"/>
    <x v="546"/>
    <x v="1"/>
  </r>
  <r>
    <n v="549"/>
    <n v="374"/>
    <n v="94"/>
    <n v="22"/>
    <x v="263"/>
    <x v="547"/>
    <x v="1"/>
  </r>
  <r>
    <n v="550"/>
    <n v="51"/>
    <n v="15"/>
    <n v="1"/>
    <x v="205"/>
    <x v="548"/>
    <x v="2"/>
  </r>
  <r>
    <n v="551"/>
    <n v="289"/>
    <n v="11"/>
    <n v="4"/>
    <x v="70"/>
    <x v="549"/>
    <x v="0"/>
  </r>
  <r>
    <n v="552"/>
    <n v="239"/>
    <n v="5"/>
    <n v="6"/>
    <x v="264"/>
    <x v="550"/>
    <x v="0"/>
  </r>
  <r>
    <n v="553"/>
    <n v="286"/>
    <n v="485"/>
    <n v="92"/>
    <x v="172"/>
    <x v="551"/>
    <x v="0"/>
  </r>
  <r>
    <n v="554"/>
    <n v="46"/>
    <n v="6"/>
    <n v="0"/>
    <x v="176"/>
    <x v="552"/>
    <x v="2"/>
  </r>
  <r>
    <n v="555"/>
    <n v="49"/>
    <n v="9"/>
    <n v="3"/>
    <x v="131"/>
    <x v="553"/>
    <x v="2"/>
  </r>
  <r>
    <n v="556"/>
    <n v="61"/>
    <n v="9"/>
    <n v="3"/>
    <x v="77"/>
    <x v="554"/>
    <x v="2"/>
  </r>
  <r>
    <n v="557"/>
    <n v="56"/>
    <n v="6"/>
    <n v="3"/>
    <x v="265"/>
    <x v="555"/>
    <x v="2"/>
  </r>
  <r>
    <n v="558"/>
    <n v="64"/>
    <n v="7"/>
    <n v="6"/>
    <x v="174"/>
    <x v="556"/>
    <x v="2"/>
  </r>
  <r>
    <n v="559"/>
    <n v="350"/>
    <n v="62"/>
    <n v="14"/>
    <x v="266"/>
    <x v="557"/>
    <x v="1"/>
  </r>
  <r>
    <n v="560"/>
    <n v="45"/>
    <n v="25"/>
    <n v="39"/>
    <x v="0"/>
    <x v="558"/>
    <x v="2"/>
  </r>
  <r>
    <n v="561"/>
    <n v="296"/>
    <n v="94"/>
    <n v="11"/>
    <x v="236"/>
    <x v="559"/>
    <x v="0"/>
  </r>
  <r>
    <n v="562"/>
    <n v="294"/>
    <n v="16"/>
    <n v="9"/>
    <x v="267"/>
    <x v="560"/>
    <x v="0"/>
  </r>
  <r>
    <n v="563"/>
    <n v="21"/>
    <n v="38"/>
    <n v="6"/>
    <x v="164"/>
    <x v="561"/>
    <x v="2"/>
  </r>
  <r>
    <n v="564"/>
    <n v="30"/>
    <n v="35"/>
    <n v="2"/>
    <x v="27"/>
    <x v="562"/>
    <x v="2"/>
  </r>
  <r>
    <n v="565"/>
    <n v="48"/>
    <n v="28"/>
    <n v="41"/>
    <x v="251"/>
    <x v="563"/>
    <x v="2"/>
  </r>
  <r>
    <n v="566"/>
    <n v="48"/>
    <n v="19"/>
    <n v="32"/>
    <x v="72"/>
    <x v="564"/>
    <x v="2"/>
  </r>
  <r>
    <n v="567"/>
    <n v="30"/>
    <n v="19"/>
    <n v="1"/>
    <x v="243"/>
    <x v="565"/>
    <x v="2"/>
  </r>
  <r>
    <n v="568"/>
    <n v="107"/>
    <n v="53"/>
    <n v="22"/>
    <x v="268"/>
    <x v="566"/>
    <x v="0"/>
  </r>
  <r>
    <n v="569"/>
    <n v="31"/>
    <n v="12"/>
    <n v="3"/>
    <x v="188"/>
    <x v="567"/>
    <x v="2"/>
  </r>
  <r>
    <n v="570"/>
    <n v="500"/>
    <n v="12"/>
    <n v="251"/>
    <x v="269"/>
    <x v="568"/>
    <x v="1"/>
  </r>
  <r>
    <n v="571"/>
    <n v="48"/>
    <n v="25"/>
    <n v="42"/>
    <x v="0"/>
    <x v="569"/>
    <x v="2"/>
  </r>
  <r>
    <n v="572"/>
    <n v="334"/>
    <n v="97"/>
    <n v="35"/>
    <x v="270"/>
    <x v="570"/>
    <x v="1"/>
  </r>
  <r>
    <n v="573"/>
    <n v="3817"/>
    <n v="95"/>
    <n v="95"/>
    <x v="271"/>
    <x v="571"/>
    <x v="1"/>
  </r>
  <r>
    <n v="574"/>
    <n v="192"/>
    <n v="54"/>
    <n v="3"/>
    <x v="272"/>
    <x v="572"/>
    <x v="0"/>
  </r>
  <r>
    <n v="575"/>
    <n v="48"/>
    <n v="6"/>
    <n v="2"/>
    <x v="183"/>
    <x v="573"/>
    <x v="2"/>
  </r>
  <r>
    <n v="576"/>
    <n v="61"/>
    <n v="8"/>
    <n v="2"/>
    <x v="273"/>
    <x v="574"/>
    <x v="2"/>
  </r>
  <r>
    <n v="577"/>
    <n v="44"/>
    <n v="8"/>
    <n v="3"/>
    <x v="130"/>
    <x v="575"/>
    <x v="2"/>
  </r>
  <r>
    <n v="578"/>
    <n v="39"/>
    <n v="3"/>
    <n v="3"/>
    <x v="170"/>
    <x v="576"/>
    <x v="2"/>
  </r>
  <r>
    <n v="579"/>
    <n v="45"/>
    <n v="9"/>
    <n v="2"/>
    <x v="16"/>
    <x v="577"/>
    <x v="2"/>
  </r>
  <r>
    <n v="580"/>
    <n v="37"/>
    <n v="8"/>
    <n v="1"/>
    <x v="192"/>
    <x v="578"/>
    <x v="2"/>
  </r>
  <r>
    <n v="581"/>
    <n v="49"/>
    <n v="7"/>
    <n v="2"/>
    <x v="194"/>
    <x v="579"/>
    <x v="2"/>
  </r>
  <r>
    <n v="582"/>
    <n v="32"/>
    <n v="19"/>
    <n v="3"/>
    <x v="188"/>
    <x v="580"/>
    <x v="2"/>
  </r>
  <r>
    <n v="583"/>
    <n v="15"/>
    <n v="152"/>
    <n v="43"/>
    <x v="73"/>
    <x v="581"/>
    <x v="2"/>
  </r>
  <r>
    <n v="584"/>
    <n v="130"/>
    <n v="67"/>
    <n v="3"/>
    <x v="132"/>
    <x v="582"/>
    <x v="0"/>
  </r>
  <r>
    <n v="585"/>
    <n v="133"/>
    <n v="1"/>
    <n v="2"/>
    <x v="274"/>
    <x v="583"/>
    <x v="0"/>
  </r>
  <r>
    <n v="586"/>
    <n v="250"/>
    <n v="26"/>
    <n v="25"/>
    <x v="275"/>
    <x v="584"/>
    <x v="0"/>
  </r>
  <r>
    <n v="587"/>
    <n v="356"/>
    <n v="205"/>
    <n v="41"/>
    <x v="276"/>
    <x v="585"/>
    <x v="1"/>
  </r>
  <r>
    <n v="588"/>
    <n v="330"/>
    <n v="238"/>
    <n v="14"/>
    <x v="277"/>
    <x v="586"/>
    <x v="1"/>
  </r>
  <r>
    <n v="589"/>
    <n v="533"/>
    <n v="278"/>
    <n v="381"/>
    <x v="278"/>
    <x v="587"/>
    <x v="1"/>
  </r>
  <r>
    <n v="590"/>
    <n v="341"/>
    <n v="304"/>
    <n v="32"/>
    <x v="279"/>
    <x v="588"/>
    <x v="1"/>
  </r>
  <r>
    <n v="591"/>
    <n v="400"/>
    <n v="344"/>
    <n v="169"/>
    <x v="231"/>
    <x v="589"/>
    <x v="1"/>
  </r>
  <r>
    <n v="592"/>
    <n v="204"/>
    <n v="169"/>
    <n v="88"/>
    <x v="209"/>
    <x v="590"/>
    <x v="0"/>
  </r>
  <r>
    <n v="593"/>
    <n v="212"/>
    <n v="175"/>
    <n v="10"/>
    <x v="280"/>
    <x v="591"/>
    <x v="0"/>
  </r>
  <r>
    <n v="594"/>
    <n v="118"/>
    <n v="44"/>
    <n v="15"/>
    <x v="281"/>
    <x v="592"/>
    <x v="0"/>
  </r>
  <r>
    <n v="595"/>
    <n v="479"/>
    <n v="127"/>
    <n v="232"/>
    <x v="282"/>
    <x v="593"/>
    <x v="1"/>
  </r>
  <r>
    <n v="596"/>
    <n v="370"/>
    <n v="16"/>
    <n v="6"/>
    <x v="62"/>
    <x v="594"/>
    <x v="1"/>
  </r>
  <r>
    <n v="597"/>
    <n v="161"/>
    <n v="77"/>
    <n v="28"/>
    <x v="283"/>
    <x v="595"/>
    <x v="0"/>
  </r>
  <r>
    <n v="598"/>
    <n v="165"/>
    <n v="77"/>
    <n v="31"/>
    <x v="284"/>
    <x v="596"/>
    <x v="0"/>
  </r>
  <r>
    <n v="599"/>
    <n v="331"/>
    <n v="25"/>
    <n v="1"/>
    <x v="58"/>
    <x v="597"/>
    <x v="1"/>
  </r>
  <r>
    <n v="600"/>
    <n v="129"/>
    <n v="124"/>
    <n v="7"/>
    <x v="118"/>
    <x v="598"/>
    <x v="0"/>
  </r>
  <r>
    <n v="601"/>
    <n v="336"/>
    <n v="231"/>
    <n v="17"/>
    <x v="285"/>
    <x v="599"/>
    <x v="1"/>
  </r>
  <r>
    <n v="602"/>
    <n v="516"/>
    <n v="147"/>
    <n v="311"/>
    <x v="110"/>
    <x v="600"/>
    <x v="1"/>
  </r>
  <r>
    <n v="603"/>
    <n v="336"/>
    <n v="207"/>
    <n v="14"/>
    <x v="236"/>
    <x v="601"/>
    <x v="1"/>
  </r>
  <r>
    <n v="604"/>
    <n v="316"/>
    <n v="207"/>
    <n v="1"/>
    <x v="58"/>
    <x v="602"/>
    <x v="1"/>
  </r>
  <r>
    <n v="605"/>
    <n v="114"/>
    <n v="7"/>
    <n v="6"/>
    <x v="286"/>
    <x v="603"/>
    <x v="0"/>
  </r>
  <r>
    <n v="606"/>
    <n v="123"/>
    <n v="84"/>
    <n v="6"/>
    <x v="9"/>
    <x v="604"/>
    <x v="0"/>
  </r>
  <r>
    <n v="607"/>
    <n v="147"/>
    <n v="9"/>
    <n v="5"/>
    <x v="287"/>
    <x v="605"/>
    <x v="0"/>
  </r>
  <r>
    <n v="608"/>
    <n v="323"/>
    <n v="229"/>
    <n v="15"/>
    <x v="288"/>
    <x v="606"/>
    <x v="1"/>
  </r>
  <r>
    <n v="609"/>
    <n v="109"/>
    <n v="87"/>
    <n v="5"/>
    <x v="118"/>
    <x v="607"/>
    <x v="0"/>
  </r>
  <r>
    <n v="610"/>
    <n v="350"/>
    <n v="171"/>
    <n v="18"/>
    <x v="289"/>
    <x v="608"/>
    <x v="1"/>
  </r>
  <r>
    <n v="611"/>
    <n v="339"/>
    <n v="208"/>
    <n v="21"/>
    <x v="267"/>
    <x v="609"/>
    <x v="1"/>
  </r>
  <r>
    <n v="612"/>
    <n v="346"/>
    <n v="166"/>
    <n v="17"/>
    <x v="290"/>
    <x v="610"/>
    <x v="1"/>
  </r>
  <r>
    <n v="613"/>
    <n v="345"/>
    <n v="222"/>
    <n v="12"/>
    <x v="291"/>
    <x v="611"/>
    <x v="1"/>
  </r>
  <r>
    <n v="614"/>
    <n v="445"/>
    <n v="11"/>
    <n v="11"/>
    <x v="292"/>
    <x v="612"/>
    <x v="1"/>
  </r>
  <r>
    <n v="615"/>
    <n v="98"/>
    <n v="67"/>
    <n v="4"/>
    <x v="293"/>
    <x v="613"/>
    <x v="2"/>
  </r>
  <r>
    <n v="616"/>
    <n v="286"/>
    <n v="302"/>
    <n v="156"/>
    <x v="294"/>
    <x v="614"/>
    <x v="0"/>
  </r>
  <r>
    <n v="617"/>
    <n v="521"/>
    <n v="322"/>
    <n v="377"/>
    <x v="295"/>
    <x v="615"/>
    <x v="1"/>
  </r>
  <r>
    <n v="618"/>
    <n v="381"/>
    <n v="404"/>
    <n v="167"/>
    <x v="296"/>
    <x v="616"/>
    <x v="1"/>
  </r>
  <r>
    <n v="619"/>
    <n v="75"/>
    <n v="41"/>
    <n v="21"/>
    <x v="7"/>
    <x v="617"/>
    <x v="2"/>
  </r>
  <r>
    <n v="620"/>
    <n v="189"/>
    <n v="202"/>
    <n v="82"/>
    <x v="237"/>
    <x v="618"/>
    <x v="0"/>
  </r>
  <r>
    <n v="621"/>
    <n v="286"/>
    <n v="302"/>
    <n v="156"/>
    <x v="294"/>
    <x v="619"/>
    <x v="0"/>
  </r>
  <r>
    <n v="622"/>
    <n v="327"/>
    <n v="164"/>
    <n v="43"/>
    <x v="297"/>
    <x v="620"/>
    <x v="1"/>
  </r>
  <r>
    <n v="623"/>
    <n v="355"/>
    <n v="17"/>
    <n v="25"/>
    <x v="171"/>
    <x v="621"/>
    <x v="1"/>
  </r>
  <r>
    <n v="624"/>
    <n v="346"/>
    <n v="165"/>
    <n v="15"/>
    <x v="298"/>
    <x v="622"/>
    <x v="1"/>
  </r>
  <r>
    <n v="625"/>
    <n v="22"/>
    <n v="11"/>
    <n v="1"/>
    <x v="150"/>
    <x v="623"/>
    <x v="2"/>
  </r>
  <r>
    <n v="626"/>
    <n v="344"/>
    <n v="167"/>
    <n v="21"/>
    <x v="267"/>
    <x v="624"/>
    <x v="1"/>
  </r>
  <r>
    <n v="627"/>
    <n v="336"/>
    <n v="231"/>
    <n v="17"/>
    <x v="285"/>
    <x v="625"/>
    <x v="1"/>
  </r>
  <r>
    <n v="628"/>
    <n v="350"/>
    <n v="139"/>
    <n v="3"/>
    <x v="299"/>
    <x v="626"/>
    <x v="1"/>
  </r>
  <r>
    <n v="629"/>
    <n v="314"/>
    <n v="221"/>
    <n v="11"/>
    <x v="300"/>
    <x v="627"/>
    <x v="1"/>
  </r>
  <r>
    <n v="630"/>
    <n v="158"/>
    <n v="103"/>
    <n v="9"/>
    <x v="301"/>
    <x v="628"/>
    <x v="0"/>
  </r>
  <r>
    <n v="631"/>
    <n v="171"/>
    <n v="11"/>
    <n v="22"/>
    <x v="72"/>
    <x v="629"/>
    <x v="0"/>
  </r>
  <r>
    <n v="632"/>
    <n v="144"/>
    <n v="10"/>
    <n v="1"/>
    <x v="302"/>
    <x v="630"/>
    <x v="0"/>
  </r>
  <r>
    <n v="633"/>
    <n v="280"/>
    <n v="167"/>
    <n v="16"/>
    <x v="303"/>
    <x v="631"/>
    <x v="0"/>
  </r>
  <r>
    <n v="634"/>
    <n v="629"/>
    <n v="204"/>
    <n v="563"/>
    <x v="108"/>
    <x v="632"/>
    <x v="1"/>
  </r>
  <r>
    <n v="635"/>
    <n v="616"/>
    <n v="163"/>
    <n v="484"/>
    <x v="304"/>
    <x v="633"/>
    <x v="1"/>
  </r>
  <r>
    <n v="636"/>
    <n v="480"/>
    <n v="184"/>
    <n v="191"/>
    <x v="305"/>
    <x v="634"/>
    <x v="1"/>
  </r>
  <r>
    <n v="637"/>
    <n v="44"/>
    <n v="27"/>
    <n v="3"/>
    <x v="86"/>
    <x v="635"/>
    <x v="2"/>
  </r>
  <r>
    <n v="638"/>
    <n v="357"/>
    <n v="173"/>
    <n v="15"/>
    <x v="199"/>
    <x v="636"/>
    <x v="1"/>
  </r>
  <r>
    <n v="639"/>
    <n v="39"/>
    <n v="3"/>
    <n v="6"/>
    <x v="186"/>
    <x v="637"/>
    <x v="2"/>
  </r>
  <r>
    <n v="640"/>
    <n v="150"/>
    <n v="25"/>
    <n v="125"/>
    <x v="25"/>
    <x v="638"/>
    <x v="0"/>
  </r>
  <r>
    <n v="641"/>
    <n v="37"/>
    <n v="31"/>
    <n v="2"/>
    <x v="146"/>
    <x v="639"/>
    <x v="2"/>
  </r>
  <r>
    <n v="642"/>
    <n v="484"/>
    <n v="88"/>
    <n v="261"/>
    <x v="229"/>
    <x v="640"/>
    <x v="1"/>
  </r>
  <r>
    <n v="643"/>
    <n v="488"/>
    <n v="256"/>
    <n v="256"/>
    <x v="126"/>
    <x v="641"/>
    <x v="1"/>
  </r>
  <r>
    <n v="644"/>
    <n v="535"/>
    <n v="278"/>
    <n v="381"/>
    <x v="278"/>
    <x v="642"/>
    <x v="1"/>
  </r>
  <r>
    <n v="645"/>
    <n v="564"/>
    <n v="255"/>
    <n v="444"/>
    <x v="104"/>
    <x v="643"/>
    <x v="1"/>
  </r>
  <r>
    <n v="646"/>
    <n v="561"/>
    <n v="255"/>
    <n v="438"/>
    <x v="64"/>
    <x v="644"/>
    <x v="1"/>
  </r>
  <r>
    <n v="647"/>
    <n v="525"/>
    <n v="279"/>
    <n v="427"/>
    <x v="306"/>
    <x v="645"/>
    <x v="1"/>
  </r>
  <r>
    <n v="648"/>
    <n v="385"/>
    <n v="14"/>
    <n v="31"/>
    <x v="28"/>
    <x v="646"/>
    <x v="1"/>
  </r>
  <r>
    <n v="649"/>
    <n v="360"/>
    <n v="135"/>
    <n v="312"/>
    <x v="14"/>
    <x v="647"/>
    <x v="1"/>
  </r>
  <r>
    <n v="650"/>
    <n v="513"/>
    <n v="175"/>
    <n v="325"/>
    <x v="307"/>
    <x v="648"/>
    <x v="1"/>
  </r>
  <r>
    <n v="651"/>
    <n v="569"/>
    <n v="288"/>
    <n v="484"/>
    <x v="174"/>
    <x v="649"/>
    <x v="1"/>
  </r>
  <r>
    <n v="652"/>
    <n v="559"/>
    <n v="269"/>
    <n v="442"/>
    <x v="107"/>
    <x v="650"/>
    <x v="1"/>
  </r>
  <r>
    <n v="653"/>
    <n v="561"/>
    <n v="255"/>
    <n v="438"/>
    <x v="64"/>
    <x v="651"/>
    <x v="1"/>
  </r>
  <r>
    <n v="654"/>
    <n v="748"/>
    <n v="208"/>
    <n v="208"/>
    <x v="308"/>
    <x v="652"/>
    <x v="1"/>
  </r>
  <r>
    <n v="655"/>
    <n v="331"/>
    <n v="244"/>
    <n v="19"/>
    <x v="309"/>
    <x v="653"/>
    <x v="1"/>
  </r>
  <r>
    <n v="656"/>
    <n v="138"/>
    <n v="107"/>
    <n v="11"/>
    <x v="221"/>
    <x v="654"/>
    <x v="0"/>
  </r>
  <r>
    <n v="657"/>
    <n v="342"/>
    <n v="229"/>
    <n v="14"/>
    <x v="276"/>
    <x v="655"/>
    <x v="1"/>
  </r>
  <r>
    <n v="658"/>
    <n v="138"/>
    <n v="107"/>
    <n v="11"/>
    <x v="221"/>
    <x v="656"/>
    <x v="0"/>
  </r>
  <r>
    <n v="659"/>
    <n v="451"/>
    <n v="112"/>
    <n v="202"/>
    <x v="310"/>
    <x v="657"/>
    <x v="1"/>
  </r>
  <r>
    <n v="660"/>
    <n v="351"/>
    <n v="122"/>
    <n v="12"/>
    <x v="311"/>
    <x v="658"/>
    <x v="1"/>
  </r>
  <r>
    <n v="661"/>
    <n v="358"/>
    <n v="234"/>
    <n v="24"/>
    <x v="312"/>
    <x v="659"/>
    <x v="1"/>
  </r>
  <r>
    <n v="662"/>
    <n v="354"/>
    <n v="128"/>
    <n v="18"/>
    <x v="313"/>
    <x v="660"/>
    <x v="1"/>
  </r>
  <r>
    <n v="663"/>
    <n v="110"/>
    <n v="45"/>
    <n v="69"/>
    <x v="188"/>
    <x v="661"/>
    <x v="0"/>
  </r>
  <r>
    <n v="664"/>
    <n v="413"/>
    <n v="287"/>
    <n v="198"/>
    <x v="314"/>
    <x v="662"/>
    <x v="1"/>
  </r>
  <r>
    <n v="665"/>
    <n v="92"/>
    <n v="20"/>
    <n v="7"/>
    <x v="0"/>
    <x v="663"/>
    <x v="2"/>
  </r>
  <r>
    <n v="666"/>
    <n v="66"/>
    <n v="28"/>
    <n v="68"/>
    <x v="150"/>
    <x v="664"/>
    <x v="2"/>
  </r>
  <r>
    <n v="667"/>
    <n v="163"/>
    <n v="165"/>
    <n v="9"/>
    <x v="102"/>
    <x v="665"/>
    <x v="0"/>
  </r>
  <r>
    <n v="668"/>
    <n v="122"/>
    <n v="138"/>
    <n v="57"/>
    <x v="50"/>
    <x v="666"/>
    <x v="0"/>
  </r>
  <r>
    <n v="669"/>
    <n v="157"/>
    <n v="81"/>
    <n v="88"/>
    <x v="315"/>
    <x v="667"/>
    <x v="0"/>
  </r>
  <r>
    <n v="670"/>
    <n v="193"/>
    <n v="106"/>
    <n v="124"/>
    <x v="127"/>
    <x v="668"/>
    <x v="0"/>
  </r>
  <r>
    <n v="671"/>
    <n v="149"/>
    <n v="166"/>
    <n v="92"/>
    <x v="0"/>
    <x v="669"/>
    <x v="0"/>
  </r>
  <r>
    <n v="672"/>
    <n v="164"/>
    <n v="3"/>
    <n v="24"/>
    <x v="316"/>
    <x v="670"/>
    <x v="0"/>
  </r>
  <r>
    <n v="673"/>
    <n v="29"/>
    <n v="3"/>
    <n v="3"/>
    <x v="248"/>
    <x v="671"/>
    <x v="2"/>
  </r>
  <r>
    <n v="674"/>
    <n v="30"/>
    <n v="32"/>
    <n v="7"/>
    <x v="120"/>
    <x v="672"/>
    <x v="2"/>
  </r>
  <r>
    <n v="675"/>
    <n v="22"/>
    <n v="25"/>
    <n v="6"/>
    <x v="179"/>
    <x v="673"/>
    <x v="2"/>
  </r>
  <r>
    <n v="676"/>
    <n v="43"/>
    <n v="18"/>
    <n v="2"/>
    <x v="181"/>
    <x v="674"/>
    <x v="2"/>
  </r>
  <r>
    <n v="677"/>
    <n v="52"/>
    <n v="18"/>
    <n v="36"/>
    <x v="32"/>
    <x v="675"/>
    <x v="2"/>
  </r>
  <r>
    <n v="678"/>
    <n v="38"/>
    <n v="24"/>
    <n v="2"/>
    <x v="64"/>
    <x v="676"/>
    <x v="2"/>
  </r>
  <r>
    <n v="679"/>
    <n v="42"/>
    <n v="33"/>
    <n v="2"/>
    <x v="114"/>
    <x v="677"/>
    <x v="2"/>
  </r>
  <r>
    <n v="680"/>
    <n v="41"/>
    <n v="2"/>
    <n v="3"/>
    <x v="86"/>
    <x v="678"/>
    <x v="2"/>
  </r>
  <r>
    <n v="681"/>
    <n v="158"/>
    <n v="44"/>
    <n v="32"/>
    <x v="317"/>
    <x v="679"/>
    <x v="0"/>
  </r>
  <r>
    <n v="682"/>
    <n v="25"/>
    <n v="23"/>
    <n v="2"/>
    <x v="66"/>
    <x v="680"/>
    <x v="2"/>
  </r>
  <r>
    <n v="683"/>
    <n v="1467"/>
    <n v="59"/>
    <n v="59"/>
    <x v="318"/>
    <x v="681"/>
    <x v="1"/>
  </r>
  <r>
    <n v="684"/>
    <n v="92"/>
    <n v="22"/>
    <n v="33"/>
    <x v="273"/>
    <x v="682"/>
    <x v="2"/>
  </r>
  <r>
    <n v="685"/>
    <n v="292"/>
    <n v="112"/>
    <n v="112"/>
    <x v="72"/>
    <x v="683"/>
    <x v="0"/>
  </r>
  <r>
    <n v="686"/>
    <n v="73"/>
    <n v="164"/>
    <n v="3"/>
    <x v="0"/>
    <x v="684"/>
    <x v="2"/>
  </r>
  <r>
    <n v="687"/>
    <n v="275"/>
    <n v="126"/>
    <n v="148"/>
    <x v="319"/>
    <x v="685"/>
    <x v="0"/>
  </r>
  <r>
    <n v="688"/>
    <n v="356"/>
    <n v="9"/>
    <n v="85"/>
    <x v="264"/>
    <x v="686"/>
    <x v="1"/>
  </r>
  <r>
    <n v="689"/>
    <n v="120"/>
    <n v="35"/>
    <n v="25"/>
    <x v="286"/>
    <x v="687"/>
    <x v="0"/>
  </r>
  <r>
    <n v="690"/>
    <n v="46"/>
    <n v="57"/>
    <n v="13"/>
    <x v="164"/>
    <x v="688"/>
    <x v="2"/>
  </r>
  <r>
    <n v="691"/>
    <n v="464"/>
    <n v="12"/>
    <n v="186"/>
    <x v="94"/>
    <x v="689"/>
    <x v="1"/>
  </r>
  <r>
    <n v="692"/>
    <n v="405"/>
    <n v="328"/>
    <n v="17"/>
    <x v="320"/>
    <x v="690"/>
    <x v="1"/>
  </r>
  <r>
    <n v="693"/>
    <n v="35"/>
    <n v="29"/>
    <n v="2"/>
    <x v="37"/>
    <x v="691"/>
    <x v="2"/>
  </r>
  <r>
    <n v="694"/>
    <n v="32"/>
    <n v="29"/>
    <n v="2"/>
    <x v="58"/>
    <x v="692"/>
    <x v="2"/>
  </r>
  <r>
    <n v="695"/>
    <n v="34"/>
    <n v="9"/>
    <n v="1"/>
    <x v="246"/>
    <x v="693"/>
    <x v="2"/>
  </r>
  <r>
    <n v="696"/>
    <n v="47"/>
    <n v="5"/>
    <n v="2"/>
    <x v="193"/>
    <x v="694"/>
    <x v="2"/>
  </r>
  <r>
    <n v="697"/>
    <n v="326"/>
    <n v="228"/>
    <n v="203"/>
    <x v="128"/>
    <x v="695"/>
    <x v="1"/>
  </r>
  <r>
    <n v="698"/>
    <n v="590"/>
    <n v="27"/>
    <n v="49"/>
    <x v="76"/>
    <x v="696"/>
    <x v="1"/>
  </r>
  <r>
    <n v="699"/>
    <n v="623"/>
    <n v="2"/>
    <n v="521"/>
    <x v="320"/>
    <x v="697"/>
    <x v="1"/>
  </r>
  <r>
    <n v="700"/>
    <n v="17"/>
    <n v="2"/>
    <n v="1"/>
    <x v="3"/>
    <x v="698"/>
    <x v="2"/>
  </r>
  <r>
    <n v="701"/>
    <n v="68"/>
    <n v="1"/>
    <n v="9"/>
    <x v="138"/>
    <x v="699"/>
    <x v="2"/>
  </r>
  <r>
    <n v="702"/>
    <n v="180"/>
    <n v="4"/>
    <n v="15"/>
    <x v="59"/>
    <x v="700"/>
    <x v="0"/>
  </r>
  <r>
    <n v="703"/>
    <n v="359"/>
    <n v="34"/>
    <n v="347"/>
    <x v="138"/>
    <x v="701"/>
    <x v="1"/>
  </r>
  <r>
    <n v="704"/>
    <n v="214"/>
    <n v="54"/>
    <n v="54"/>
    <x v="321"/>
    <x v="702"/>
    <x v="0"/>
  </r>
  <r>
    <n v="705"/>
    <n v="111"/>
    <n v="15"/>
    <n v="3"/>
    <x v="322"/>
    <x v="703"/>
    <x v="0"/>
  </r>
  <r>
    <n v="706"/>
    <n v="142"/>
    <n v="169"/>
    <n v="78"/>
    <x v="0"/>
    <x v="704"/>
    <x v="0"/>
  </r>
  <r>
    <n v="707"/>
    <n v="48"/>
    <n v="1"/>
    <n v="2"/>
    <x v="182"/>
    <x v="705"/>
    <x v="2"/>
  </r>
  <r>
    <n v="708"/>
    <n v="380"/>
    <n v="489"/>
    <n v="138"/>
    <x v="323"/>
    <x v="706"/>
    <x v="1"/>
  </r>
  <r>
    <n v="709"/>
    <n v="44"/>
    <n v="18"/>
    <n v="6"/>
    <x v="114"/>
    <x v="707"/>
    <x v="2"/>
  </r>
  <r>
    <n v="710"/>
    <n v="636"/>
    <n v="19"/>
    <n v="63"/>
    <x v="37"/>
    <x v="708"/>
    <x v="1"/>
  </r>
  <r>
    <n v="711"/>
    <n v="657"/>
    <n v="15"/>
    <n v="66"/>
    <x v="28"/>
    <x v="709"/>
    <x v="1"/>
  </r>
  <r>
    <n v="712"/>
    <n v="616"/>
    <n v="139"/>
    <n v="562"/>
    <x v="324"/>
    <x v="710"/>
    <x v="1"/>
  </r>
  <r>
    <n v="713"/>
    <n v="83"/>
    <n v="2"/>
    <n v="1"/>
    <x v="5"/>
    <x v="711"/>
    <x v="2"/>
  </r>
  <r>
    <n v="714"/>
    <n v="142"/>
    <n v="9"/>
    <n v="4"/>
    <x v="325"/>
    <x v="712"/>
    <x v="0"/>
  </r>
  <r>
    <n v="715"/>
    <n v="64"/>
    <n v="12"/>
    <n v="1"/>
    <x v="38"/>
    <x v="713"/>
    <x v="2"/>
  </r>
  <r>
    <n v="716"/>
    <n v="204"/>
    <n v="26"/>
    <n v="20"/>
    <x v="27"/>
    <x v="714"/>
    <x v="0"/>
  </r>
  <r>
    <n v="717"/>
    <n v="151"/>
    <n v="138"/>
    <n v="38"/>
    <x v="273"/>
    <x v="715"/>
    <x v="0"/>
  </r>
  <r>
    <n v="718"/>
    <n v="59"/>
    <n v="18"/>
    <n v="11"/>
    <x v="71"/>
    <x v="716"/>
    <x v="2"/>
  </r>
  <r>
    <n v="719"/>
    <n v="393"/>
    <n v="389"/>
    <n v="133"/>
    <x v="326"/>
    <x v="717"/>
    <x v="1"/>
  </r>
  <r>
    <n v="720"/>
    <n v="357"/>
    <n v="411"/>
    <n v="10"/>
    <x v="327"/>
    <x v="718"/>
    <x v="1"/>
  </r>
  <r>
    <n v="721"/>
    <n v="79"/>
    <n v="187"/>
    <n v="5"/>
    <x v="0"/>
    <x v="719"/>
    <x v="2"/>
  </r>
  <r>
    <n v="722"/>
    <n v="475"/>
    <n v="16"/>
    <n v="255"/>
    <x v="328"/>
    <x v="720"/>
    <x v="1"/>
  </r>
  <r>
    <n v="723"/>
    <n v="137"/>
    <n v="13"/>
    <n v="11"/>
    <x v="314"/>
    <x v="721"/>
    <x v="0"/>
  </r>
  <r>
    <n v="724"/>
    <n v="586"/>
    <n v="49"/>
    <n v="406"/>
    <x v="329"/>
    <x v="722"/>
    <x v="1"/>
  </r>
  <r>
    <n v="725"/>
    <n v="446"/>
    <n v="28"/>
    <n v="145"/>
    <x v="186"/>
    <x v="723"/>
    <x v="1"/>
  </r>
  <r>
    <n v="726"/>
    <n v="448"/>
    <n v="27"/>
    <n v="188"/>
    <x v="330"/>
    <x v="724"/>
    <x v="1"/>
  </r>
  <r>
    <n v="727"/>
    <n v="485"/>
    <n v="17"/>
    <n v="222"/>
    <x v="331"/>
    <x v="725"/>
    <x v="1"/>
  </r>
  <r>
    <n v="728"/>
    <n v="598"/>
    <n v="83"/>
    <n v="438"/>
    <x v="332"/>
    <x v="726"/>
    <x v="1"/>
  </r>
  <r>
    <n v="729"/>
    <n v="478"/>
    <n v="9"/>
    <n v="207"/>
    <x v="119"/>
    <x v="727"/>
    <x v="1"/>
  </r>
  <r>
    <n v="730"/>
    <n v="481"/>
    <n v="22"/>
    <n v="197"/>
    <x v="333"/>
    <x v="728"/>
    <x v="1"/>
  </r>
  <r>
    <n v="731"/>
    <n v="581"/>
    <n v="121"/>
    <n v="406"/>
    <x v="334"/>
    <x v="729"/>
    <x v="1"/>
  </r>
  <r>
    <n v="732"/>
    <n v="542"/>
    <n v="403"/>
    <n v="424"/>
    <x v="116"/>
    <x v="730"/>
    <x v="1"/>
  </r>
  <r>
    <n v="733"/>
    <n v="510"/>
    <n v="123"/>
    <n v="279"/>
    <x v="335"/>
    <x v="731"/>
    <x v="1"/>
  </r>
  <r>
    <n v="734"/>
    <n v="529"/>
    <n v="208"/>
    <n v="317"/>
    <x v="321"/>
    <x v="732"/>
    <x v="1"/>
  </r>
  <r>
    <n v="735"/>
    <n v="486"/>
    <n v="2"/>
    <n v="239"/>
    <x v="336"/>
    <x v="733"/>
    <x v="1"/>
  </r>
  <r>
    <n v="736"/>
    <n v="26"/>
    <n v="17"/>
    <n v="4"/>
    <x v="3"/>
    <x v="734"/>
    <x v="2"/>
  </r>
  <r>
    <n v="737"/>
    <n v="350"/>
    <n v="5"/>
    <n v="2"/>
    <x v="337"/>
    <x v="735"/>
    <x v="1"/>
  </r>
  <r>
    <n v="738"/>
    <n v="444"/>
    <n v="69"/>
    <n v="146"/>
    <x v="338"/>
    <x v="736"/>
    <x v="1"/>
  </r>
  <r>
    <n v="739"/>
    <n v="342"/>
    <n v="16"/>
    <n v="4"/>
    <x v="339"/>
    <x v="737"/>
    <x v="1"/>
  </r>
  <r>
    <n v="740"/>
    <n v="325"/>
    <n v="18"/>
    <n v="4"/>
    <x v="340"/>
    <x v="738"/>
    <x v="1"/>
  </r>
  <r>
    <n v="741"/>
    <n v="504"/>
    <n v="56"/>
    <n v="281"/>
    <x v="341"/>
    <x v="739"/>
    <x v="1"/>
  </r>
  <r>
    <n v="742"/>
    <n v="356"/>
    <n v="97"/>
    <n v="11"/>
    <x v="83"/>
    <x v="740"/>
    <x v="1"/>
  </r>
  <r>
    <n v="743"/>
    <n v="422"/>
    <n v="83"/>
    <n v="4"/>
    <x v="0"/>
    <x v="741"/>
    <x v="1"/>
  </r>
  <r>
    <n v="744"/>
    <n v="345"/>
    <n v="12"/>
    <n v="15"/>
    <x v="206"/>
    <x v="742"/>
    <x v="1"/>
  </r>
  <r>
    <n v="745"/>
    <n v="431"/>
    <n v="111"/>
    <n v="162"/>
    <x v="60"/>
    <x v="743"/>
    <x v="1"/>
  </r>
  <r>
    <n v="746"/>
    <n v="439"/>
    <n v="10"/>
    <n v="164"/>
    <x v="342"/>
    <x v="744"/>
    <x v="1"/>
  </r>
  <r>
    <n v="747"/>
    <n v="485"/>
    <n v="115"/>
    <n v="245"/>
    <x v="343"/>
    <x v="745"/>
    <x v="1"/>
  </r>
  <r>
    <n v="748"/>
    <n v="476"/>
    <n v="1"/>
    <n v="211"/>
    <x v="338"/>
    <x v="746"/>
    <x v="1"/>
  </r>
  <r>
    <n v="749"/>
    <n v="467"/>
    <n v="173"/>
    <n v="173"/>
    <x v="223"/>
    <x v="747"/>
    <x v="1"/>
  </r>
  <r>
    <n v="750"/>
    <n v="340"/>
    <n v="30"/>
    <n v="30"/>
    <x v="123"/>
    <x v="748"/>
    <x v="1"/>
  </r>
  <r>
    <n v="751"/>
    <n v="359"/>
    <n v="172"/>
    <n v="682"/>
    <x v="344"/>
    <x v="749"/>
    <x v="1"/>
  </r>
  <r>
    <n v="752"/>
    <n v="477"/>
    <n v="47"/>
    <n v="205"/>
    <x v="345"/>
    <x v="750"/>
    <x v="1"/>
  </r>
  <r>
    <n v="753"/>
    <n v="588"/>
    <n v="537"/>
    <n v="409"/>
    <x v="346"/>
    <x v="751"/>
    <x v="1"/>
  </r>
  <r>
    <n v="754"/>
    <n v="78"/>
    <n v="8"/>
    <n v="4"/>
    <x v="347"/>
    <x v="752"/>
    <x v="2"/>
  </r>
  <r>
    <n v="755"/>
    <n v="181"/>
    <n v="4"/>
    <n v="12"/>
    <x v="87"/>
    <x v="753"/>
    <x v="0"/>
  </r>
  <r>
    <n v="756"/>
    <n v="163"/>
    <n v="3"/>
    <n v="4"/>
    <x v="91"/>
    <x v="754"/>
    <x v="0"/>
  </r>
  <r>
    <n v="757"/>
    <n v="340"/>
    <n v="11"/>
    <n v="11"/>
    <x v="248"/>
    <x v="755"/>
    <x v="1"/>
  </r>
  <r>
    <n v="758"/>
    <n v="157"/>
    <n v="8"/>
    <n v="3"/>
    <x v="348"/>
    <x v="756"/>
    <x v="0"/>
  </r>
  <r>
    <n v="759"/>
    <n v="154"/>
    <n v="1"/>
    <n v="3"/>
    <x v="211"/>
    <x v="757"/>
    <x v="0"/>
  </r>
  <r>
    <n v="760"/>
    <n v="153"/>
    <n v="12"/>
    <n v="3"/>
    <x v="349"/>
    <x v="758"/>
    <x v="0"/>
  </r>
  <r>
    <n v="761"/>
    <n v="12"/>
    <n v="7"/>
    <n v="1"/>
    <x v="35"/>
    <x v="759"/>
    <x v="2"/>
  </r>
  <r>
    <n v="762"/>
    <n v="9"/>
    <n v="5"/>
    <n v="1"/>
    <x v="242"/>
    <x v="760"/>
    <x v="2"/>
  </r>
  <r>
    <n v="763"/>
    <n v="153"/>
    <n v="79"/>
    <n v="77"/>
    <x v="28"/>
    <x v="761"/>
    <x v="0"/>
  </r>
  <r>
    <n v="764"/>
    <n v="404"/>
    <n v="141"/>
    <n v="161"/>
    <x v="350"/>
    <x v="762"/>
    <x v="1"/>
  </r>
  <r>
    <n v="765"/>
    <n v="212"/>
    <n v="4"/>
    <n v="46"/>
    <x v="351"/>
    <x v="763"/>
    <x v="0"/>
  </r>
  <r>
    <n v="766"/>
    <n v="1096"/>
    <n v="26"/>
    <n v="26"/>
    <x v="352"/>
    <x v="764"/>
    <x v="1"/>
  </r>
  <r>
    <n v="767"/>
    <n v="310"/>
    <n v="10"/>
    <n v="24"/>
    <x v="191"/>
    <x v="765"/>
    <x v="1"/>
  </r>
  <r>
    <n v="768"/>
    <n v="73"/>
    <n v="164"/>
    <n v="3"/>
    <x v="0"/>
    <x v="766"/>
    <x v="2"/>
  </r>
  <r>
    <n v="769"/>
    <n v="86"/>
    <n v="16"/>
    <n v="2"/>
    <x v="28"/>
    <x v="767"/>
    <x v="2"/>
  </r>
  <r>
    <n v="770"/>
    <n v="99"/>
    <n v="33"/>
    <n v="1"/>
    <x v="353"/>
    <x v="768"/>
    <x v="2"/>
  </r>
  <r>
    <n v="771"/>
    <n v="25"/>
    <n v="24"/>
    <n v="2"/>
    <x v="184"/>
    <x v="769"/>
    <x v="2"/>
  </r>
  <r>
    <n v="772"/>
    <n v="24"/>
    <n v="14"/>
    <n v="2"/>
    <x v="10"/>
    <x v="770"/>
    <x v="2"/>
  </r>
  <r>
    <n v="773"/>
    <n v="352"/>
    <n v="174"/>
    <n v="13"/>
    <x v="63"/>
    <x v="771"/>
    <x v="1"/>
  </r>
  <r>
    <n v="774"/>
    <n v="129"/>
    <n v="123"/>
    <n v="5"/>
    <x v="66"/>
    <x v="772"/>
    <x v="0"/>
  </r>
  <r>
    <n v="775"/>
    <n v="356"/>
    <n v="205"/>
    <n v="41"/>
    <x v="276"/>
    <x v="773"/>
    <x v="1"/>
  </r>
  <r>
    <n v="776"/>
    <n v="332"/>
    <n v="24"/>
    <n v="3"/>
    <x v="243"/>
    <x v="774"/>
    <x v="1"/>
  </r>
  <r>
    <n v="777"/>
    <n v="141"/>
    <n v="102"/>
    <n v="13"/>
    <x v="219"/>
    <x v="775"/>
    <x v="0"/>
  </r>
  <r>
    <n v="778"/>
    <n v="125"/>
    <n v="83"/>
    <n v="7"/>
    <x v="354"/>
    <x v="776"/>
    <x v="0"/>
  </r>
  <r>
    <n v="779"/>
    <n v="33"/>
    <n v="27"/>
    <n v="2"/>
    <x v="146"/>
    <x v="777"/>
    <x v="2"/>
  </r>
  <r>
    <n v="780"/>
    <n v="344"/>
    <n v="125"/>
    <n v="21"/>
    <x v="355"/>
    <x v="778"/>
    <x v="1"/>
  </r>
  <r>
    <n v="781"/>
    <n v="338"/>
    <n v="222"/>
    <n v="15"/>
    <x v="70"/>
    <x v="779"/>
    <x v="1"/>
  </r>
  <r>
    <n v="782"/>
    <n v="38"/>
    <n v="3"/>
    <n v="3"/>
    <x v="146"/>
    <x v="780"/>
    <x v="2"/>
  </r>
  <r>
    <n v="783"/>
    <n v="46"/>
    <n v="3"/>
    <n v="3"/>
    <x v="146"/>
    <x v="781"/>
    <x v="2"/>
  </r>
  <r>
    <n v="784"/>
    <n v="46"/>
    <n v="22"/>
    <n v="15"/>
    <x v="33"/>
    <x v="782"/>
    <x v="2"/>
  </r>
  <r>
    <n v="785"/>
    <n v="366"/>
    <n v="42"/>
    <n v="43"/>
    <x v="356"/>
    <x v="783"/>
    <x v="1"/>
  </r>
  <r>
    <n v="786"/>
    <n v="370"/>
    <n v="8"/>
    <n v="1"/>
    <x v="357"/>
    <x v="784"/>
    <x v="1"/>
  </r>
  <r>
    <n v="787"/>
    <n v="315"/>
    <n v="21"/>
    <n v="14"/>
    <x v="358"/>
    <x v="785"/>
    <x v="1"/>
  </r>
  <r>
    <n v="788"/>
    <n v="542"/>
    <n v="403"/>
    <n v="424"/>
    <x v="177"/>
    <x v="786"/>
    <x v="1"/>
  </r>
  <r>
    <n v="789"/>
    <n v="21"/>
    <n v="17"/>
    <n v="4"/>
    <x v="3"/>
    <x v="787"/>
    <x v="2"/>
  </r>
  <r>
    <n v="790"/>
    <n v="45"/>
    <n v="22"/>
    <n v="3"/>
    <x v="12"/>
    <x v="788"/>
    <x v="2"/>
  </r>
  <r>
    <n v="791"/>
    <n v="42"/>
    <n v="38"/>
    <n v="6"/>
    <x v="86"/>
    <x v="789"/>
    <x v="2"/>
  </r>
  <r>
    <n v="792"/>
    <n v="113"/>
    <n v="181"/>
    <n v="41"/>
    <x v="164"/>
    <x v="790"/>
    <x v="0"/>
  </r>
  <r>
    <n v="793"/>
    <n v="440"/>
    <n v="38"/>
    <n v="185"/>
    <x v="264"/>
    <x v="791"/>
    <x v="1"/>
  </r>
  <r>
    <n v="794"/>
    <n v="1867"/>
    <n v="16"/>
    <n v="16"/>
    <x v="359"/>
    <x v="792"/>
    <x v="1"/>
  </r>
  <r>
    <n v="795"/>
    <n v="338"/>
    <n v="15"/>
    <n v="12"/>
    <x v="105"/>
    <x v="793"/>
    <x v="1"/>
  </r>
  <r>
    <n v="796"/>
    <n v="240"/>
    <n v="1"/>
    <n v="4"/>
    <x v="248"/>
    <x v="794"/>
    <x v="0"/>
  </r>
  <r>
    <n v="797"/>
    <n v="425"/>
    <n v="16"/>
    <n v="88"/>
    <x v="360"/>
    <x v="795"/>
    <x v="1"/>
  </r>
  <r>
    <n v="798"/>
    <n v="591"/>
    <n v="56"/>
    <n v="421"/>
    <x v="361"/>
    <x v="796"/>
    <x v="1"/>
  </r>
  <r>
    <n v="799"/>
    <n v="366"/>
    <n v="42"/>
    <n v="43"/>
    <x v="146"/>
    <x v="797"/>
    <x v="1"/>
  </r>
  <r>
    <n v="800"/>
    <n v="291"/>
    <n v="36"/>
    <n v="111"/>
    <x v="47"/>
    <x v="798"/>
    <x v="0"/>
  </r>
  <r>
    <n v="801"/>
    <n v="182"/>
    <n v="1"/>
    <n v="1"/>
    <x v="362"/>
    <x v="799"/>
    <x v="0"/>
  </r>
  <r>
    <n v="802"/>
    <n v="1267"/>
    <n v="7"/>
    <n v="7"/>
    <x v="363"/>
    <x v="800"/>
    <x v="1"/>
  </r>
  <r>
    <n v="803"/>
    <n v="296"/>
    <n v="14"/>
    <n v="14"/>
    <x v="364"/>
    <x v="801"/>
    <x v="0"/>
  </r>
  <r>
    <n v="804"/>
    <n v="304"/>
    <n v="53"/>
    <n v="7"/>
    <x v="365"/>
    <x v="802"/>
    <x v="1"/>
  </r>
  <r>
    <n v="805"/>
    <n v="217"/>
    <n v="12"/>
    <n v="5"/>
    <x v="366"/>
    <x v="803"/>
    <x v="0"/>
  </r>
  <r>
    <n v="806"/>
    <n v="3933"/>
    <n v="27"/>
    <n v="27"/>
    <x v="367"/>
    <x v="804"/>
    <x v="1"/>
  </r>
  <r>
    <n v="807"/>
    <n v="380"/>
    <n v="1"/>
    <n v="1"/>
    <x v="48"/>
    <x v="805"/>
    <x v="1"/>
  </r>
  <r>
    <n v="808"/>
    <n v="221"/>
    <n v="75"/>
    <n v="102"/>
    <x v="368"/>
    <x v="806"/>
    <x v="0"/>
  </r>
  <r>
    <n v="809"/>
    <n v="180"/>
    <n v="5"/>
    <n v="5"/>
    <x v="75"/>
    <x v="807"/>
    <x v="0"/>
  </r>
  <r>
    <n v="810"/>
    <n v="512"/>
    <n v="26"/>
    <n v="26"/>
    <x v="369"/>
    <x v="808"/>
    <x v="1"/>
  </r>
  <r>
    <n v="811"/>
    <n v="247"/>
    <n v="29"/>
    <n v="42"/>
    <x v="370"/>
    <x v="809"/>
    <x v="0"/>
  </r>
  <r>
    <n v="812"/>
    <n v="111"/>
    <n v="45"/>
    <n v="11"/>
    <x v="69"/>
    <x v="810"/>
    <x v="0"/>
  </r>
  <r>
    <n v="813"/>
    <n v="22"/>
    <n v="4"/>
    <n v="2"/>
    <x v="120"/>
    <x v="811"/>
    <x v="2"/>
  </r>
  <r>
    <n v="814"/>
    <n v="63"/>
    <n v="2"/>
    <n v="27"/>
    <x v="129"/>
    <x v="812"/>
    <x v="2"/>
  </r>
  <r>
    <n v="815"/>
    <n v="83"/>
    <n v="191"/>
    <n v="2"/>
    <x v="0"/>
    <x v="813"/>
    <x v="2"/>
  </r>
  <r>
    <n v="816"/>
    <n v="515"/>
    <n v="306"/>
    <n v="421"/>
    <x v="371"/>
    <x v="814"/>
    <x v="1"/>
  </r>
  <r>
    <n v="817"/>
    <n v="242"/>
    <n v="19"/>
    <n v="17"/>
    <x v="32"/>
    <x v="815"/>
    <x v="0"/>
  </r>
  <r>
    <n v="818"/>
    <n v="17"/>
    <n v="6"/>
    <n v="2"/>
    <x v="3"/>
    <x v="816"/>
    <x v="2"/>
  </r>
  <r>
    <n v="819"/>
    <n v="51"/>
    <n v="17"/>
    <n v="5"/>
    <x v="59"/>
    <x v="817"/>
    <x v="2"/>
  </r>
  <r>
    <n v="820"/>
    <n v="26"/>
    <n v="6"/>
    <n v="1"/>
    <x v="246"/>
    <x v="818"/>
    <x v="2"/>
  </r>
  <r>
    <n v="821"/>
    <n v="32"/>
    <n v="11"/>
    <n v="1"/>
    <x v="171"/>
    <x v="819"/>
    <x v="2"/>
  </r>
  <r>
    <n v="822"/>
    <n v="1663"/>
    <n v="27"/>
    <n v="39"/>
    <x v="240"/>
    <x v="820"/>
    <x v="1"/>
  </r>
  <r>
    <n v="823"/>
    <n v="85"/>
    <n v="57"/>
    <n v="3"/>
    <x v="77"/>
    <x v="821"/>
    <x v="2"/>
  </r>
  <r>
    <n v="824"/>
    <n v="148"/>
    <n v="106"/>
    <n v="5"/>
    <x v="372"/>
    <x v="822"/>
    <x v="0"/>
  </r>
  <r>
    <n v="825"/>
    <n v="142"/>
    <n v="11"/>
    <n v="25"/>
    <x v="373"/>
    <x v="823"/>
    <x v="0"/>
  </r>
  <r>
    <n v="826"/>
    <n v="367"/>
    <n v="464"/>
    <n v="54"/>
    <x v="67"/>
    <x v="824"/>
    <x v="1"/>
  </r>
  <r>
    <n v="827"/>
    <n v="336"/>
    <n v="238"/>
    <n v="12"/>
    <x v="310"/>
    <x v="825"/>
    <x v="1"/>
  </r>
  <r>
    <n v="828"/>
    <n v="56"/>
    <n v="9"/>
    <n v="2"/>
    <x v="169"/>
    <x v="826"/>
    <x v="2"/>
  </r>
  <r>
    <n v="829"/>
    <n v="34"/>
    <n v="22"/>
    <n v="3"/>
    <x v="243"/>
    <x v="827"/>
    <x v="2"/>
  </r>
  <r>
    <n v="830"/>
    <n v="422"/>
    <n v="9"/>
    <n v="108"/>
    <x v="374"/>
    <x v="828"/>
    <x v="1"/>
  </r>
  <r>
    <n v="831"/>
    <n v="389"/>
    <n v="66"/>
    <n v="157"/>
    <x v="228"/>
    <x v="829"/>
    <x v="1"/>
  </r>
  <r>
    <n v="832"/>
    <n v="174"/>
    <n v="17"/>
    <n v="10"/>
    <x v="32"/>
    <x v="830"/>
    <x v="0"/>
  </r>
  <r>
    <n v="833"/>
    <n v="141"/>
    <n v="23"/>
    <n v="15"/>
    <x v="186"/>
    <x v="831"/>
    <x v="0"/>
  </r>
  <r>
    <n v="834"/>
    <n v="159"/>
    <n v="5"/>
    <n v="109"/>
    <x v="205"/>
    <x v="832"/>
    <x v="0"/>
  </r>
  <r>
    <n v="835"/>
    <n v="207"/>
    <n v="74"/>
    <n v="154"/>
    <x v="114"/>
    <x v="833"/>
    <x v="0"/>
  </r>
  <r>
    <n v="836"/>
    <n v="405"/>
    <n v="48"/>
    <n v="51"/>
    <x v="375"/>
    <x v="834"/>
    <x v="1"/>
  </r>
  <r>
    <n v="837"/>
    <n v="15"/>
    <n v="1"/>
    <n v="4"/>
    <x v="242"/>
    <x v="835"/>
    <x v="2"/>
  </r>
  <r>
    <n v="838"/>
    <n v="902"/>
    <n v="0"/>
    <n v="100"/>
    <x v="0"/>
    <x v="836"/>
    <x v="1"/>
  </r>
  <r>
    <n v="839"/>
    <n v="630"/>
    <n v="91"/>
    <n v="65"/>
    <x v="30"/>
    <x v="837"/>
    <x v="1"/>
  </r>
  <r>
    <n v="840"/>
    <n v="372"/>
    <n v="12"/>
    <n v="294"/>
    <x v="173"/>
    <x v="838"/>
    <x v="1"/>
  </r>
  <r>
    <n v="841"/>
    <n v="818"/>
    <n v="15"/>
    <n v="90"/>
    <x v="0"/>
    <x v="839"/>
    <x v="1"/>
  </r>
  <r>
    <n v="842"/>
    <n v="34"/>
    <n v="5"/>
    <n v="8"/>
    <x v="236"/>
    <x v="840"/>
    <x v="2"/>
  </r>
  <r>
    <n v="843"/>
    <n v="36"/>
    <n v="0"/>
    <n v="0"/>
    <x v="59"/>
    <x v="841"/>
    <x v="2"/>
  </r>
  <r>
    <n v="844"/>
    <n v="30"/>
    <n v="0"/>
    <n v="0"/>
    <x v="37"/>
    <x v="842"/>
    <x v="2"/>
  </r>
  <r>
    <n v="845"/>
    <n v="2213"/>
    <n v="38"/>
    <n v="36"/>
    <x v="376"/>
    <x v="843"/>
    <x v="1"/>
  </r>
  <r>
    <n v="846"/>
    <n v="320"/>
    <n v="35"/>
    <n v="57"/>
    <x v="377"/>
    <x v="844"/>
    <x v="1"/>
  </r>
  <r>
    <n v="847"/>
    <n v="181"/>
    <n v="28"/>
    <n v="12"/>
    <x v="378"/>
    <x v="845"/>
    <x v="0"/>
  </r>
  <r>
    <n v="848"/>
    <n v="33"/>
    <n v="19"/>
    <n v="1"/>
    <x v="175"/>
    <x v="846"/>
    <x v="2"/>
  </r>
  <r>
    <n v="849"/>
    <n v="240"/>
    <n v="78"/>
    <n v="5"/>
    <x v="279"/>
    <x v="847"/>
    <x v="0"/>
  </r>
  <r>
    <n v="850"/>
    <n v="387"/>
    <n v="16"/>
    <n v="22"/>
    <x v="32"/>
    <x v="848"/>
    <x v="1"/>
  </r>
  <r>
    <n v="851"/>
    <n v="79"/>
    <n v="23"/>
    <n v="52"/>
    <x v="58"/>
    <x v="849"/>
    <x v="2"/>
  </r>
  <r>
    <n v="852"/>
    <n v="19"/>
    <n v="9"/>
    <n v="1"/>
    <x v="49"/>
    <x v="850"/>
    <x v="2"/>
  </r>
  <r>
    <n v="853"/>
    <n v="217"/>
    <n v="11"/>
    <n v="17"/>
    <x v="379"/>
    <x v="851"/>
    <x v="0"/>
  </r>
  <r>
    <n v="854"/>
    <n v="27"/>
    <n v="4"/>
    <n v="2"/>
    <x v="33"/>
    <x v="852"/>
    <x v="2"/>
  </r>
  <r>
    <n v="855"/>
    <n v="1633"/>
    <n v="28"/>
    <n v="22"/>
    <x v="137"/>
    <x v="853"/>
    <x v="1"/>
  </r>
  <r>
    <n v="856"/>
    <n v="38"/>
    <n v="11"/>
    <n v="3"/>
    <x v="186"/>
    <x v="854"/>
    <x v="2"/>
  </r>
  <r>
    <n v="857"/>
    <n v="164"/>
    <n v="18"/>
    <n v="21"/>
    <x v="380"/>
    <x v="855"/>
    <x v="0"/>
  </r>
  <r>
    <n v="858"/>
    <n v="294"/>
    <n v="3"/>
    <n v="0"/>
    <x v="381"/>
    <x v="856"/>
    <x v="0"/>
  </r>
  <r>
    <n v="859"/>
    <n v="341"/>
    <n v="3"/>
    <n v="0"/>
    <x v="141"/>
    <x v="857"/>
    <x v="1"/>
  </r>
  <r>
    <n v="860"/>
    <n v="363"/>
    <n v="87"/>
    <n v="4"/>
    <x v="382"/>
    <x v="858"/>
    <x v="1"/>
  </r>
  <r>
    <n v="861"/>
    <n v="63"/>
    <n v="24"/>
    <n v="4"/>
    <x v="183"/>
    <x v="859"/>
    <x v="2"/>
  </r>
  <r>
    <n v="862"/>
    <n v="44"/>
    <n v="7"/>
    <n v="2"/>
    <x v="16"/>
    <x v="860"/>
    <x v="2"/>
  </r>
  <r>
    <n v="863"/>
    <n v="63"/>
    <n v="5"/>
    <n v="2"/>
    <x v="383"/>
    <x v="861"/>
    <x v="2"/>
  </r>
  <r>
    <n v="864"/>
    <n v="46"/>
    <n v="4"/>
    <n v="2"/>
    <x v="182"/>
    <x v="862"/>
    <x v="2"/>
  </r>
  <r>
    <n v="865"/>
    <n v="72"/>
    <n v="8"/>
    <n v="2"/>
    <x v="384"/>
    <x v="863"/>
    <x v="2"/>
  </r>
  <r>
    <n v="866"/>
    <n v="56"/>
    <n v="4"/>
    <n v="2"/>
    <x v="252"/>
    <x v="864"/>
    <x v="2"/>
  </r>
  <r>
    <n v="867"/>
    <n v="86"/>
    <n v="7"/>
    <n v="5"/>
    <x v="108"/>
    <x v="865"/>
    <x v="2"/>
  </r>
  <r>
    <n v="868"/>
    <n v="133"/>
    <n v="1"/>
    <n v="1"/>
    <x v="20"/>
    <x v="866"/>
    <x v="0"/>
  </r>
  <r>
    <n v="869"/>
    <n v="59"/>
    <n v="5"/>
    <n v="4"/>
    <x v="385"/>
    <x v="867"/>
    <x v="2"/>
  </r>
  <r>
    <n v="870"/>
    <n v="52"/>
    <n v="7"/>
    <n v="0"/>
    <x v="192"/>
    <x v="868"/>
    <x v="2"/>
  </r>
  <r>
    <n v="871"/>
    <n v="63"/>
    <n v="6"/>
    <n v="6"/>
    <x v="46"/>
    <x v="869"/>
    <x v="2"/>
  </r>
  <r>
    <n v="872"/>
    <n v="720"/>
    <n v="6"/>
    <n v="81"/>
    <x v="27"/>
    <x v="870"/>
    <x v="1"/>
  </r>
  <r>
    <n v="873"/>
    <n v="144"/>
    <n v="35"/>
    <n v="12"/>
    <x v="314"/>
    <x v="871"/>
    <x v="0"/>
  </r>
  <r>
    <n v="874"/>
    <n v="217"/>
    <n v="25"/>
    <n v="1"/>
    <x v="386"/>
    <x v="872"/>
    <x v="0"/>
  </r>
  <r>
    <n v="875"/>
    <n v="104"/>
    <n v="12"/>
    <n v="5"/>
    <x v="387"/>
    <x v="873"/>
    <x v="0"/>
  </r>
  <r>
    <n v="876"/>
    <n v="2653"/>
    <n v="47"/>
    <n v="55"/>
    <x v="388"/>
    <x v="874"/>
    <x v="1"/>
  </r>
  <r>
    <n v="877"/>
    <n v="153"/>
    <n v="45"/>
    <n v="42"/>
    <x v="389"/>
    <x v="875"/>
    <x v="0"/>
  </r>
  <r>
    <n v="878"/>
    <n v="278"/>
    <n v="51"/>
    <n v="86"/>
    <x v="65"/>
    <x v="876"/>
    <x v="0"/>
  </r>
  <r>
    <n v="879"/>
    <n v="200"/>
    <n v="89"/>
    <n v="51"/>
    <x v="240"/>
    <x v="877"/>
    <x v="0"/>
  </r>
  <r>
    <n v="880"/>
    <n v="369"/>
    <n v="21"/>
    <n v="7"/>
    <x v="390"/>
    <x v="878"/>
    <x v="1"/>
  </r>
  <r>
    <n v="881"/>
    <n v="90"/>
    <n v="12"/>
    <n v="1"/>
    <x v="391"/>
    <x v="879"/>
    <x v="2"/>
  </r>
  <r>
    <n v="882"/>
    <n v="276"/>
    <n v="0"/>
    <n v="1"/>
    <x v="188"/>
    <x v="880"/>
    <x v="0"/>
  </r>
  <r>
    <n v="883"/>
    <n v="66"/>
    <n v="5"/>
    <n v="7"/>
    <x v="392"/>
    <x v="881"/>
    <x v="2"/>
  </r>
  <r>
    <n v="884"/>
    <n v="37"/>
    <n v="6"/>
    <n v="4"/>
    <x v="86"/>
    <x v="882"/>
    <x v="2"/>
  </r>
  <r>
    <n v="885"/>
    <n v="322"/>
    <n v="558"/>
    <n v="2"/>
    <x v="393"/>
    <x v="883"/>
    <x v="1"/>
  </r>
  <r>
    <n v="886"/>
    <n v="725"/>
    <n v="5"/>
    <n v="816"/>
    <x v="138"/>
    <x v="884"/>
    <x v="1"/>
  </r>
  <r>
    <n v="887"/>
    <n v="65"/>
    <n v="17"/>
    <n v="2"/>
    <x v="18"/>
    <x v="885"/>
    <x v="2"/>
  </r>
  <r>
    <n v="888"/>
    <n v="359"/>
    <n v="115"/>
    <n v="68"/>
    <x v="328"/>
    <x v="886"/>
    <x v="1"/>
  </r>
  <r>
    <n v="889"/>
    <n v="88"/>
    <n v="6"/>
    <n v="33"/>
    <x v="138"/>
    <x v="887"/>
    <x v="2"/>
  </r>
  <r>
    <n v="890"/>
    <n v="71"/>
    <n v="2"/>
    <n v="8"/>
    <x v="135"/>
    <x v="888"/>
    <x v="2"/>
  </r>
  <r>
    <n v="891"/>
    <n v="339"/>
    <n v="10"/>
    <n v="17"/>
    <x v="60"/>
    <x v="889"/>
    <x v="1"/>
  </r>
  <r>
    <n v="892"/>
    <n v="113"/>
    <n v="3"/>
    <n v="32"/>
    <x v="394"/>
    <x v="890"/>
    <x v="0"/>
  </r>
  <r>
    <n v="893"/>
    <n v="102"/>
    <n v="62"/>
    <n v="39"/>
    <x v="185"/>
    <x v="891"/>
    <x v="0"/>
  </r>
  <r>
    <n v="894"/>
    <n v="114"/>
    <n v="53"/>
    <n v="3"/>
    <x v="395"/>
    <x v="892"/>
    <x v="0"/>
  </r>
  <r>
    <n v="895"/>
    <n v="86"/>
    <n v="6"/>
    <n v="33"/>
    <x v="138"/>
    <x v="893"/>
    <x v="2"/>
  </r>
  <r>
    <n v="896"/>
    <n v="353"/>
    <n v="3"/>
    <n v="0"/>
    <x v="73"/>
    <x v="894"/>
    <x v="1"/>
  </r>
  <r>
    <n v="897"/>
    <n v="102"/>
    <n v="3"/>
    <n v="21"/>
    <x v="396"/>
    <x v="895"/>
    <x v="0"/>
  </r>
  <r>
    <n v="898"/>
    <n v="468"/>
    <n v="76"/>
    <n v="204"/>
    <x v="397"/>
    <x v="896"/>
    <x v="1"/>
  </r>
  <r>
    <n v="899"/>
    <n v="337"/>
    <n v="79"/>
    <n v="118"/>
    <x v="143"/>
    <x v="897"/>
    <x v="1"/>
  </r>
  <r>
    <n v="900"/>
    <n v="105"/>
    <n v="59"/>
    <n v="49"/>
    <x v="165"/>
    <x v="898"/>
    <x v="0"/>
  </r>
  <r>
    <n v="901"/>
    <n v="190"/>
    <n v="2"/>
    <n v="4"/>
    <x v="398"/>
    <x v="899"/>
    <x v="0"/>
  </r>
  <r>
    <n v="902"/>
    <n v="902"/>
    <n v="0"/>
    <n v="100"/>
    <x v="0"/>
    <x v="900"/>
    <x v="1"/>
  </r>
  <r>
    <n v="903"/>
    <n v="902"/>
    <n v="0"/>
    <n v="100"/>
    <x v="0"/>
    <x v="901"/>
    <x v="1"/>
  </r>
  <r>
    <n v="904"/>
    <n v="902"/>
    <n v="0"/>
    <n v="100"/>
    <x v="0"/>
    <x v="902"/>
    <x v="1"/>
  </r>
  <r>
    <n v="905"/>
    <n v="883"/>
    <n v="0"/>
    <n v="999"/>
    <x v="0"/>
    <x v="903"/>
    <x v="1"/>
  </r>
  <r>
    <n v="906"/>
    <n v="870"/>
    <n v="1"/>
    <n v="98"/>
    <x v="0"/>
    <x v="904"/>
    <x v="1"/>
  </r>
  <r>
    <n v="907"/>
    <n v="902"/>
    <n v="0"/>
    <n v="100"/>
    <x v="0"/>
    <x v="905"/>
    <x v="1"/>
  </r>
  <r>
    <n v="908"/>
    <n v="902"/>
    <n v="0"/>
    <n v="100"/>
    <x v="0"/>
    <x v="906"/>
    <x v="1"/>
  </r>
  <r>
    <n v="909"/>
    <n v="884"/>
    <n v="0"/>
    <n v="100"/>
    <x v="0"/>
    <x v="907"/>
    <x v="1"/>
  </r>
  <r>
    <n v="910"/>
    <n v="345"/>
    <n v="85"/>
    <n v="22"/>
    <x v="86"/>
    <x v="908"/>
    <x v="1"/>
  </r>
  <r>
    <n v="911"/>
    <n v="218"/>
    <n v="8"/>
    <n v="16"/>
    <x v="329"/>
    <x v="909"/>
    <x v="0"/>
  </r>
  <r>
    <n v="912"/>
    <n v="128"/>
    <n v="8"/>
    <n v="10"/>
    <x v="28"/>
    <x v="910"/>
    <x v="0"/>
  </r>
  <r>
    <n v="913"/>
    <n v="33"/>
    <n v="23"/>
    <n v="5"/>
    <x v="120"/>
    <x v="911"/>
    <x v="2"/>
  </r>
  <r>
    <n v="914"/>
    <n v="330"/>
    <n v="178"/>
    <n v="234"/>
    <x v="115"/>
    <x v="912"/>
    <x v="1"/>
  </r>
  <r>
    <n v="915"/>
    <n v="478"/>
    <n v="383"/>
    <n v="339"/>
    <x v="379"/>
    <x v="913"/>
    <x v="1"/>
  </r>
  <r>
    <n v="916"/>
    <n v="52"/>
    <n v="4"/>
    <n v="2"/>
    <x v="324"/>
    <x v="914"/>
    <x v="2"/>
  </r>
  <r>
    <n v="917"/>
    <n v="58"/>
    <n v="7"/>
    <n v="2"/>
    <x v="392"/>
    <x v="915"/>
    <x v="2"/>
  </r>
  <r>
    <n v="918"/>
    <n v="165"/>
    <n v="42"/>
    <n v="1"/>
    <x v="399"/>
    <x v="916"/>
    <x v="0"/>
  </r>
  <r>
    <n v="919"/>
    <n v="106"/>
    <n v="12"/>
    <n v="3"/>
    <x v="400"/>
    <x v="917"/>
    <x v="0"/>
  </r>
  <r>
    <n v="920"/>
    <n v="51"/>
    <n v="2"/>
    <n v="4"/>
    <x v="216"/>
    <x v="918"/>
    <x v="2"/>
  </r>
  <r>
    <n v="921"/>
    <n v="180"/>
    <n v="3"/>
    <n v="3"/>
    <x v="378"/>
    <x v="919"/>
    <x v="0"/>
  </r>
  <r>
    <n v="922"/>
    <n v="149"/>
    <n v="28"/>
    <n v="4"/>
    <x v="67"/>
    <x v="920"/>
    <x v="0"/>
  </r>
  <r>
    <n v="923"/>
    <n v="192"/>
    <n v="38"/>
    <n v="88"/>
    <x v="401"/>
    <x v="921"/>
    <x v="0"/>
  </r>
  <r>
    <n v="924"/>
    <n v="276"/>
    <n v="32"/>
    <n v="32"/>
    <x v="402"/>
    <x v="922"/>
    <x v="0"/>
  </r>
  <r>
    <n v="925"/>
    <n v="190"/>
    <n v="47"/>
    <n v="75"/>
    <x v="64"/>
    <x v="923"/>
    <x v="0"/>
  </r>
  <r>
    <n v="926"/>
    <n v="357"/>
    <n v="88"/>
    <n v="5"/>
    <x v="381"/>
    <x v="924"/>
    <x v="1"/>
  </r>
  <r>
    <n v="927"/>
    <n v="207"/>
    <n v="35"/>
    <n v="5"/>
    <x v="403"/>
    <x v="925"/>
    <x v="0"/>
  </r>
  <r>
    <n v="928"/>
    <n v="155"/>
    <n v="103"/>
    <n v="42"/>
    <x v="5"/>
    <x v="926"/>
    <x v="0"/>
  </r>
  <r>
    <n v="929"/>
    <n v="120"/>
    <n v="24"/>
    <n v="4"/>
    <x v="64"/>
    <x v="927"/>
    <x v="0"/>
  </r>
  <r>
    <n v="930"/>
    <n v="2533"/>
    <n v="43"/>
    <n v="21"/>
    <x v="404"/>
    <x v="928"/>
    <x v="1"/>
  </r>
  <r>
    <n v="931"/>
    <n v="196"/>
    <n v="145"/>
    <n v="83"/>
    <x v="135"/>
    <x v="929"/>
    <x v="0"/>
  </r>
  <r>
    <n v="932"/>
    <n v="600"/>
    <n v="14"/>
    <n v="417"/>
    <x v="49"/>
    <x v="930"/>
    <x v="1"/>
  </r>
  <r>
    <n v="933"/>
    <n v="387"/>
    <n v="53"/>
    <n v="76"/>
    <x v="230"/>
    <x v="931"/>
    <x v="1"/>
  </r>
  <r>
    <n v="934"/>
    <n v="9"/>
    <n v="21"/>
    <n v="6"/>
    <x v="188"/>
    <x v="932"/>
    <x v="2"/>
  </r>
  <r>
    <n v="935"/>
    <n v="187"/>
    <n v="13"/>
    <n v="6"/>
    <x v="221"/>
    <x v="933"/>
    <x v="0"/>
  </r>
  <r>
    <n v="936"/>
    <n v="376"/>
    <n v="149"/>
    <n v="6"/>
    <x v="342"/>
    <x v="934"/>
    <x v="1"/>
  </r>
  <r>
    <n v="937"/>
    <n v="3633"/>
    <n v="193"/>
    <n v="193"/>
    <x v="405"/>
    <x v="935"/>
    <x v="1"/>
  </r>
  <r>
    <n v="938"/>
    <n v="284"/>
    <n v="12"/>
    <n v="144"/>
    <x v="406"/>
    <x v="936"/>
    <x v="0"/>
  </r>
  <r>
    <n v="939"/>
    <n v="3067"/>
    <n v="9"/>
    <n v="18"/>
    <x v="35"/>
    <x v="937"/>
    <x v="1"/>
  </r>
  <r>
    <n v="940"/>
    <n v="351"/>
    <n v="11"/>
    <n v="53"/>
    <x v="198"/>
    <x v="938"/>
    <x v="1"/>
  </r>
  <r>
    <n v="941"/>
    <n v="132"/>
    <n v="127"/>
    <n v="38"/>
    <x v="324"/>
    <x v="939"/>
    <x v="0"/>
  </r>
  <r>
    <n v="942"/>
    <n v="187"/>
    <n v="13"/>
    <n v="6"/>
    <x v="221"/>
    <x v="940"/>
    <x v="0"/>
  </r>
  <r>
    <n v="943"/>
    <n v="368"/>
    <n v="68"/>
    <n v="32"/>
    <x v="407"/>
    <x v="941"/>
    <x v="1"/>
  </r>
  <r>
    <n v="944"/>
    <n v="320"/>
    <n v="73"/>
    <n v="187"/>
    <x v="179"/>
    <x v="942"/>
    <x v="1"/>
  </r>
  <r>
    <n v="945"/>
    <n v="40"/>
    <n v="2"/>
    <n v="2"/>
    <x v="32"/>
    <x v="943"/>
    <x v="2"/>
  </r>
  <r>
    <n v="946"/>
    <n v="76"/>
    <n v="52"/>
    <n v="18"/>
    <x v="408"/>
    <x v="944"/>
    <x v="2"/>
  </r>
  <r>
    <n v="947"/>
    <n v="2886"/>
    <n v="83"/>
    <n v="89"/>
    <x v="307"/>
    <x v="945"/>
    <x v="1"/>
  </r>
  <r>
    <n v="948"/>
    <n v="115"/>
    <n v="15"/>
    <n v="6"/>
    <x v="138"/>
    <x v="946"/>
    <x v="0"/>
  </r>
  <r>
    <n v="949"/>
    <n v="111"/>
    <n v="3"/>
    <n v="27"/>
    <x v="353"/>
    <x v="947"/>
    <x v="0"/>
  </r>
  <r>
    <n v="950"/>
    <n v="940"/>
    <n v="36"/>
    <n v="42"/>
    <x v="193"/>
    <x v="948"/>
    <x v="1"/>
  </r>
  <r>
    <n v="951"/>
    <n v="117"/>
    <n v="137"/>
    <n v="5"/>
    <x v="250"/>
    <x v="949"/>
    <x v="0"/>
  </r>
  <r>
    <n v="952"/>
    <n v="125"/>
    <n v="104"/>
    <n v="86"/>
    <x v="37"/>
    <x v="950"/>
    <x v="0"/>
  </r>
  <r>
    <n v="953"/>
    <n v="351"/>
    <n v="9"/>
    <n v="9"/>
    <x v="375"/>
    <x v="951"/>
    <x v="1"/>
  </r>
  <r>
    <n v="954"/>
    <n v="342"/>
    <n v="23"/>
    <n v="1"/>
    <x v="409"/>
    <x v="952"/>
    <x v="1"/>
  </r>
  <r>
    <n v="955"/>
    <n v="77"/>
    <n v="35"/>
    <n v="46"/>
    <x v="248"/>
    <x v="953"/>
    <x v="2"/>
  </r>
  <r>
    <n v="956"/>
    <n v="494"/>
    <n v="75"/>
    <n v="364"/>
    <x v="410"/>
    <x v="954"/>
    <x v="1"/>
  </r>
  <r>
    <n v="957"/>
    <n v="42"/>
    <n v="3"/>
    <n v="2"/>
    <x v="130"/>
    <x v="955"/>
    <x v="2"/>
  </r>
  <r>
    <n v="958"/>
    <n v="460"/>
    <n v="285"/>
    <n v="352"/>
    <x v="119"/>
    <x v="956"/>
    <x v="1"/>
  </r>
  <r>
    <n v="959"/>
    <n v="1338"/>
    <n v="3"/>
    <n v="16"/>
    <x v="35"/>
    <x v="957"/>
    <x v="1"/>
  </r>
  <r>
    <n v="960"/>
    <n v="61"/>
    <n v="2"/>
    <n v="1"/>
    <x v="13"/>
    <x v="958"/>
    <x v="2"/>
  </r>
  <r>
    <n v="961"/>
    <n v="87"/>
    <n v="105"/>
    <n v="25"/>
    <x v="243"/>
    <x v="959"/>
    <x v="2"/>
  </r>
  <r>
    <n v="962"/>
    <n v="29"/>
    <n v="11"/>
    <n v="3"/>
    <x v="171"/>
    <x v="960"/>
    <x v="2"/>
  </r>
  <r>
    <n v="963"/>
    <n v="16"/>
    <n v="8"/>
    <n v="2"/>
    <x v="150"/>
    <x v="961"/>
    <x v="2"/>
  </r>
  <r>
    <n v="964"/>
    <n v="19"/>
    <n v="1"/>
    <n v="4"/>
    <x v="71"/>
    <x v="962"/>
    <x v="2"/>
  </r>
  <r>
    <n v="965"/>
    <n v="307"/>
    <n v="45"/>
    <n v="133"/>
    <x v="411"/>
    <x v="963"/>
    <x v="1"/>
  </r>
  <r>
    <n v="966"/>
    <n v="362"/>
    <n v="5"/>
    <n v="3"/>
    <x v="412"/>
    <x v="964"/>
    <x v="1"/>
  </r>
  <r>
    <n v="967"/>
    <n v="23"/>
    <n v="18"/>
    <n v="3"/>
    <x v="65"/>
    <x v="965"/>
    <x v="2"/>
  </r>
  <r>
    <n v="968"/>
    <n v="156"/>
    <n v="28"/>
    <n v="4"/>
    <x v="0"/>
    <x v="966"/>
    <x v="0"/>
  </r>
  <r>
    <n v="969"/>
    <n v="75"/>
    <n v="25"/>
    <n v="28"/>
    <x v="59"/>
    <x v="967"/>
    <x v="2"/>
  </r>
  <r>
    <n v="970"/>
    <n v="219"/>
    <n v="197"/>
    <n v="136"/>
    <x v="112"/>
    <x v="968"/>
    <x v="0"/>
  </r>
  <r>
    <n v="971"/>
    <n v="162"/>
    <n v="49"/>
    <n v="3"/>
    <x v="317"/>
    <x v="969"/>
    <x v="0"/>
  </r>
  <r>
    <n v="972"/>
    <n v="156"/>
    <n v="42"/>
    <n v="14"/>
    <x v="413"/>
    <x v="970"/>
    <x v="0"/>
  </r>
  <r>
    <n v="973"/>
    <n v="152"/>
    <n v="45"/>
    <n v="23"/>
    <x v="301"/>
    <x v="971"/>
    <x v="0"/>
  </r>
  <r>
    <n v="974"/>
    <n v="211"/>
    <n v="123"/>
    <n v="61"/>
    <x v="414"/>
    <x v="972"/>
    <x v="0"/>
  </r>
  <r>
    <n v="975"/>
    <n v="243"/>
    <n v="52"/>
    <n v="73"/>
    <x v="415"/>
    <x v="973"/>
    <x v="0"/>
  </r>
  <r>
    <n v="976"/>
    <n v="173"/>
    <n v="72"/>
    <n v="12"/>
    <x v="416"/>
    <x v="974"/>
    <x v="0"/>
  </r>
  <r>
    <n v="977"/>
    <n v="372"/>
    <n v="78"/>
    <n v="363"/>
    <x v="66"/>
    <x v="975"/>
    <x v="1"/>
  </r>
  <r>
    <n v="978"/>
    <n v="174"/>
    <n v="131"/>
    <n v="122"/>
    <x v="241"/>
    <x v="976"/>
    <x v="0"/>
  </r>
  <r>
    <n v="979"/>
    <n v="19"/>
    <n v="6"/>
    <n v="1"/>
    <x v="50"/>
    <x v="977"/>
    <x v="2"/>
  </r>
  <r>
    <n v="980"/>
    <n v="275"/>
    <n v="116"/>
    <n v="116"/>
    <x v="402"/>
    <x v="978"/>
    <x v="0"/>
  </r>
  <r>
    <n v="981"/>
    <n v="26"/>
    <n v="21"/>
    <n v="1"/>
    <x v="184"/>
    <x v="979"/>
    <x v="2"/>
  </r>
  <r>
    <n v="982"/>
    <n v="46"/>
    <n v="5"/>
    <n v="12"/>
    <x v="131"/>
    <x v="980"/>
    <x v="2"/>
  </r>
  <r>
    <n v="983"/>
    <n v="76"/>
    <n v="52"/>
    <n v="18"/>
    <x v="408"/>
    <x v="981"/>
    <x v="2"/>
  </r>
  <r>
    <n v="984"/>
    <n v="400"/>
    <n v="0"/>
    <n v="0"/>
    <x v="233"/>
    <x v="982"/>
    <x v="1"/>
  </r>
  <r>
    <n v="985"/>
    <n v="142"/>
    <n v="104"/>
    <n v="2"/>
    <x v="241"/>
    <x v="983"/>
    <x v="0"/>
  </r>
  <r>
    <n v="986"/>
    <n v="50"/>
    <n v="37"/>
    <n v="1"/>
    <x v="164"/>
    <x v="984"/>
    <x v="2"/>
  </r>
  <r>
    <n v="987"/>
    <n v="161"/>
    <n v="20"/>
    <n v="2"/>
    <x v="417"/>
    <x v="985"/>
    <x v="0"/>
  </r>
  <r>
    <n v="988"/>
    <n v="220"/>
    <n v="15"/>
    <n v="1"/>
    <x v="145"/>
    <x v="986"/>
    <x v="0"/>
  </r>
  <r>
    <n v="989"/>
    <n v="345"/>
    <n v="238"/>
    <n v="14"/>
    <x v="418"/>
    <x v="987"/>
    <x v="1"/>
  </r>
  <r>
    <n v="990"/>
    <n v="220"/>
    <n v="15"/>
    <n v="9"/>
    <x v="3"/>
    <x v="988"/>
    <x v="0"/>
  </r>
  <r>
    <n v="991"/>
    <n v="514"/>
    <n v="1"/>
    <n v="278"/>
    <x v="419"/>
    <x v="989"/>
    <x v="1"/>
  </r>
  <r>
    <n v="992"/>
    <n v="107"/>
    <n v="159"/>
    <n v="6"/>
    <x v="27"/>
    <x v="990"/>
    <x v="0"/>
  </r>
  <r>
    <n v="993"/>
    <n v="157"/>
    <n v="28"/>
    <n v="42"/>
    <x v="0"/>
    <x v="991"/>
    <x v="0"/>
  </r>
  <r>
    <n v="994"/>
    <n v="170"/>
    <n v="31"/>
    <n v="42"/>
    <x v="0"/>
    <x v="992"/>
    <x v="0"/>
  </r>
  <r>
    <n v="995"/>
    <n v="153"/>
    <n v="30"/>
    <n v="28"/>
    <x v="0"/>
    <x v="993"/>
    <x v="0"/>
  </r>
  <r>
    <n v="996"/>
    <n v="142"/>
    <n v="27"/>
    <n v="3"/>
    <x v="0"/>
    <x v="994"/>
    <x v="0"/>
  </r>
  <r>
    <n v="997"/>
    <n v="124"/>
    <n v="95"/>
    <n v="96"/>
    <x v="0"/>
    <x v="995"/>
    <x v="0"/>
  </r>
  <r>
    <n v="998"/>
    <n v="99"/>
    <n v="12"/>
    <n v="2"/>
    <x v="420"/>
    <x v="996"/>
    <x v="2"/>
  </r>
  <r>
    <n v="999"/>
    <n v="68"/>
    <n v="13"/>
    <n v="2"/>
    <x v="154"/>
    <x v="997"/>
    <x v="2"/>
  </r>
  <r>
    <n v="1000"/>
    <n v="120"/>
    <n v="11"/>
    <n v="2"/>
    <x v="134"/>
    <x v="998"/>
    <x v="0"/>
  </r>
  <r>
    <n v="1001"/>
    <n v="127"/>
    <n v="21"/>
    <n v="3"/>
    <x v="421"/>
    <x v="999"/>
    <x v="0"/>
  </r>
  <r>
    <n v="1002"/>
    <n v="220"/>
    <n v="23"/>
    <n v="23"/>
    <x v="60"/>
    <x v="1000"/>
    <x v="0"/>
  </r>
  <r>
    <n v="1003"/>
    <n v="115"/>
    <n v="19"/>
    <n v="2"/>
    <x v="422"/>
    <x v="1001"/>
    <x v="0"/>
  </r>
  <r>
    <n v="1004"/>
    <n v="117"/>
    <n v="2"/>
    <n v="3"/>
    <x v="423"/>
    <x v="1002"/>
    <x v="0"/>
  </r>
  <r>
    <n v="1005"/>
    <n v="100"/>
    <n v="14"/>
    <n v="5"/>
    <x v="107"/>
    <x v="1003"/>
    <x v="2"/>
  </r>
  <r>
    <n v="1006"/>
    <n v="109"/>
    <n v="8"/>
    <n v="5"/>
    <x v="424"/>
    <x v="1004"/>
    <x v="0"/>
  </r>
  <r>
    <n v="1007"/>
    <n v="145"/>
    <n v="11"/>
    <n v="3"/>
    <x v="380"/>
    <x v="1005"/>
    <x v="0"/>
  </r>
  <r>
    <n v="1008"/>
    <n v="96"/>
    <n v="1"/>
    <n v="2"/>
    <x v="425"/>
    <x v="1006"/>
    <x v="2"/>
  </r>
  <r>
    <n v="1009"/>
    <n v="99"/>
    <n v="13"/>
    <n v="2"/>
    <x v="327"/>
    <x v="1007"/>
    <x v="2"/>
  </r>
  <r>
    <n v="1010"/>
    <n v="127"/>
    <n v="14"/>
    <n v="2"/>
    <x v="426"/>
    <x v="1008"/>
    <x v="0"/>
  </r>
  <r>
    <n v="1011"/>
    <n v="127"/>
    <n v="14"/>
    <n v="2"/>
    <x v="427"/>
    <x v="1009"/>
    <x v="0"/>
  </r>
  <r>
    <n v="1012"/>
    <n v="134"/>
    <n v="11"/>
    <n v="5"/>
    <x v="428"/>
    <x v="1010"/>
    <x v="0"/>
  </r>
  <r>
    <n v="1013"/>
    <n v="120"/>
    <n v="12"/>
    <n v="2"/>
    <x v="427"/>
    <x v="1011"/>
    <x v="0"/>
  </r>
  <r>
    <n v="1014"/>
    <n v="118"/>
    <n v="12"/>
    <n v="2"/>
    <x v="421"/>
    <x v="1012"/>
    <x v="0"/>
  </r>
  <r>
    <n v="1015"/>
    <n v="98"/>
    <n v="13"/>
    <n v="12"/>
    <x v="429"/>
    <x v="1013"/>
    <x v="2"/>
  </r>
  <r>
    <n v="1016"/>
    <n v="625"/>
    <n v="1"/>
    <n v="0"/>
    <x v="8"/>
    <x v="1014"/>
    <x v="1"/>
  </r>
  <r>
    <n v="1017"/>
    <n v="113"/>
    <n v="12"/>
    <n v="2"/>
    <x v="430"/>
    <x v="1015"/>
    <x v="0"/>
  </r>
  <r>
    <n v="1018"/>
    <n v="45"/>
    <n v="22"/>
    <n v="3"/>
    <x v="12"/>
    <x v="1016"/>
    <x v="2"/>
  </r>
  <r>
    <n v="1019"/>
    <n v="33"/>
    <n v="45"/>
    <n v="4"/>
    <x v="72"/>
    <x v="1017"/>
    <x v="2"/>
  </r>
  <r>
    <n v="1020"/>
    <n v="216"/>
    <n v="26"/>
    <n v="31"/>
    <x v="110"/>
    <x v="1018"/>
    <x v="0"/>
  </r>
  <r>
    <n v="1021"/>
    <n v="224"/>
    <n v="262"/>
    <n v="113"/>
    <x v="112"/>
    <x v="1019"/>
    <x v="0"/>
  </r>
  <r>
    <n v="1022"/>
    <n v="104"/>
    <n v="19"/>
    <n v="41"/>
    <x v="385"/>
    <x v="1020"/>
    <x v="0"/>
  </r>
  <r>
    <n v="1023"/>
    <n v="25"/>
    <n v="15"/>
    <n v="5"/>
    <x v="71"/>
    <x v="1021"/>
    <x v="2"/>
  </r>
  <r>
    <n v="1024"/>
    <n v="76"/>
    <n v="41"/>
    <n v="11"/>
    <x v="187"/>
    <x v="1022"/>
    <x v="2"/>
  </r>
  <r>
    <n v="1025"/>
    <n v="76"/>
    <n v="36"/>
    <n v="3"/>
    <x v="252"/>
    <x v="1023"/>
    <x v="2"/>
  </r>
  <r>
    <n v="1026"/>
    <n v="163"/>
    <n v="22"/>
    <n v="65"/>
    <x v="220"/>
    <x v="1024"/>
    <x v="0"/>
  </r>
  <r>
    <n v="1027"/>
    <n v="200"/>
    <n v="1"/>
    <n v="24"/>
    <x v="431"/>
    <x v="1025"/>
    <x v="0"/>
  </r>
  <r>
    <n v="1028"/>
    <n v="136"/>
    <n v="43"/>
    <n v="24"/>
    <x v="32"/>
    <x v="1026"/>
    <x v="0"/>
  </r>
  <r>
    <n v="1029"/>
    <n v="76"/>
    <n v="121"/>
    <n v="2"/>
    <x v="417"/>
    <x v="1027"/>
    <x v="2"/>
  </r>
  <r>
    <n v="1030"/>
    <n v="69"/>
    <n v="9"/>
    <n v="1"/>
    <x v="394"/>
    <x v="1028"/>
    <x v="2"/>
  </r>
  <r>
    <n v="1031"/>
    <n v="11"/>
    <n v="0"/>
    <n v="0"/>
    <x v="35"/>
    <x v="1029"/>
    <x v="2"/>
  </r>
  <r>
    <n v="1032"/>
    <n v="76"/>
    <n v="5"/>
    <n v="2"/>
    <x v="9"/>
    <x v="1030"/>
    <x v="2"/>
  </r>
  <r>
    <n v="1033"/>
    <n v="4"/>
    <n v="0"/>
    <n v="0"/>
    <x v="164"/>
    <x v="1031"/>
    <x v="2"/>
  </r>
  <r>
    <n v="1034"/>
    <n v="295"/>
    <n v="73"/>
    <n v="85"/>
    <x v="361"/>
    <x v="1032"/>
    <x v="0"/>
  </r>
  <r>
    <n v="1035"/>
    <n v="394"/>
    <n v="22"/>
    <n v="88"/>
    <x v="218"/>
    <x v="1033"/>
    <x v="1"/>
  </r>
  <r>
    <n v="1036"/>
    <n v="350"/>
    <n v="9"/>
    <n v="4"/>
    <x v="432"/>
    <x v="1034"/>
    <x v="1"/>
  </r>
  <r>
    <n v="1037"/>
    <n v="60"/>
    <n v="54"/>
    <n v="25"/>
    <x v="27"/>
    <x v="1035"/>
    <x v="2"/>
  </r>
  <r>
    <n v="1038"/>
    <n v="81"/>
    <n v="162"/>
    <n v="12"/>
    <x v="25"/>
    <x v="1036"/>
    <x v="2"/>
  </r>
  <r>
    <n v="1039"/>
    <n v="299"/>
    <n v="294"/>
    <n v="36"/>
    <x v="75"/>
    <x v="1037"/>
    <x v="0"/>
  </r>
  <r>
    <n v="1040"/>
    <n v="81"/>
    <n v="162"/>
    <n v="12"/>
    <x v="25"/>
    <x v="1038"/>
    <x v="2"/>
  </r>
  <r>
    <n v="1041"/>
    <n v="27"/>
    <n v="6"/>
    <n v="3"/>
    <x v="123"/>
    <x v="1039"/>
    <x v="2"/>
  </r>
  <r>
    <n v="1042"/>
    <n v="320"/>
    <n v="72"/>
    <n v="42"/>
    <x v="21"/>
    <x v="1040"/>
    <x v="1"/>
  </r>
  <r>
    <n v="1043"/>
    <n v="451"/>
    <n v="112"/>
    <n v="202"/>
    <x v="310"/>
    <x v="1041"/>
    <x v="1"/>
  </r>
  <r>
    <n v="1044"/>
    <n v="497"/>
    <n v="17"/>
    <n v="276"/>
    <x v="433"/>
    <x v="1042"/>
    <x v="1"/>
  </r>
  <r>
    <n v="1045"/>
    <n v="193"/>
    <n v="226"/>
    <n v="79"/>
    <x v="86"/>
    <x v="1043"/>
    <x v="0"/>
  </r>
  <r>
    <n v="1046"/>
    <n v="471"/>
    <n v="47"/>
    <n v="218"/>
    <x v="434"/>
    <x v="1044"/>
    <x v="1"/>
  </r>
  <r>
    <n v="1047"/>
    <n v="75"/>
    <n v="16"/>
    <n v="6"/>
    <x v="174"/>
    <x v="1045"/>
    <x v="2"/>
  </r>
  <r>
    <n v="1048"/>
    <n v="335"/>
    <n v="53"/>
    <n v="35"/>
    <x v="435"/>
    <x v="1046"/>
    <x v="1"/>
  </r>
  <r>
    <n v="1049"/>
    <n v="341"/>
    <n v="55"/>
    <n v="162"/>
    <x v="436"/>
    <x v="1047"/>
    <x v="1"/>
  </r>
  <r>
    <n v="1050"/>
    <n v="350"/>
    <n v="75"/>
    <n v="2"/>
    <x v="437"/>
    <x v="1048"/>
    <x v="1"/>
  </r>
  <r>
    <n v="1051"/>
    <n v="248"/>
    <n v="8"/>
    <n v="12"/>
    <x v="143"/>
    <x v="1049"/>
    <x v="0"/>
  </r>
  <r>
    <n v="1052"/>
    <n v="249"/>
    <n v="79"/>
    <n v="15"/>
    <x v="438"/>
    <x v="1050"/>
    <x v="0"/>
  </r>
  <r>
    <n v="1053"/>
    <n v="153"/>
    <n v="113"/>
    <n v="84"/>
    <x v="37"/>
    <x v="1051"/>
    <x v="0"/>
  </r>
  <r>
    <n v="1054"/>
    <n v="41"/>
    <n v="14"/>
    <n v="3"/>
    <x v="8"/>
    <x v="1052"/>
    <x v="2"/>
  </r>
  <r>
    <n v="1055"/>
    <n v="536"/>
    <n v="405"/>
    <n v="415"/>
    <x v="0"/>
    <x v="1053"/>
    <x v="1"/>
  </r>
  <r>
    <n v="1056"/>
    <n v="110"/>
    <n v="115"/>
    <n v="2"/>
    <x v="404"/>
    <x v="1054"/>
    <x v="0"/>
  </r>
  <r>
    <n v="1057"/>
    <n v="198"/>
    <n v="246"/>
    <n v="107"/>
    <x v="164"/>
    <x v="1055"/>
    <x v="0"/>
  </r>
  <r>
    <n v="1058"/>
    <n v="449"/>
    <n v="306"/>
    <n v="255"/>
    <x v="439"/>
    <x v="1056"/>
    <x v="1"/>
  </r>
  <r>
    <n v="1059"/>
    <n v="338"/>
    <n v="6"/>
    <n v="3"/>
    <x v="409"/>
    <x v="1057"/>
    <x v="1"/>
  </r>
  <r>
    <n v="1060"/>
    <n v="355"/>
    <n v="6"/>
    <n v="11"/>
    <x v="440"/>
    <x v="1058"/>
    <x v="1"/>
  </r>
  <r>
    <n v="1061"/>
    <n v="231"/>
    <n v="6"/>
    <n v="2"/>
    <x v="309"/>
    <x v="1059"/>
    <x v="0"/>
  </r>
  <r>
    <n v="1062"/>
    <n v="291"/>
    <n v="5"/>
    <n v="4"/>
    <x v="441"/>
    <x v="1060"/>
    <x v="0"/>
  </r>
  <r>
    <n v="1063"/>
    <n v="230"/>
    <n v="6"/>
    <n v="2"/>
    <x v="442"/>
    <x v="1061"/>
    <x v="0"/>
  </r>
  <r>
    <n v="1064"/>
    <n v="452"/>
    <n v="28"/>
    <n v="148"/>
    <x v="443"/>
    <x v="1062"/>
    <x v="1"/>
  </r>
  <r>
    <n v="1065"/>
    <n v="347"/>
    <n v="9"/>
    <n v="3"/>
    <x v="444"/>
    <x v="1063"/>
    <x v="1"/>
  </r>
  <r>
    <n v="1066"/>
    <n v="364"/>
    <n v="1"/>
    <n v="2"/>
    <x v="445"/>
    <x v="1064"/>
    <x v="1"/>
  </r>
  <r>
    <n v="1067"/>
    <n v="362"/>
    <n v="5"/>
    <n v="3"/>
    <x v="412"/>
    <x v="1065"/>
    <x v="1"/>
  </r>
  <r>
    <n v="1068"/>
    <n v="354"/>
    <n v="8"/>
    <n v="83"/>
    <x v="446"/>
    <x v="1066"/>
    <x v="1"/>
  </r>
  <r>
    <n v="1069"/>
    <n v="57"/>
    <n v="5"/>
    <n v="1"/>
    <x v="406"/>
    <x v="1067"/>
    <x v="2"/>
  </r>
  <r>
    <n v="1070"/>
    <n v="55"/>
    <n v="4"/>
    <n v="2"/>
    <x v="14"/>
    <x v="1068"/>
    <x v="2"/>
  </r>
  <r>
    <n v="1071"/>
    <n v="87"/>
    <n v="8"/>
    <n v="4"/>
    <x v="262"/>
    <x v="1069"/>
    <x v="2"/>
  </r>
  <r>
    <n v="1072"/>
    <n v="281"/>
    <n v="24"/>
    <n v="7"/>
    <x v="290"/>
    <x v="1070"/>
    <x v="0"/>
  </r>
  <r>
    <n v="1073"/>
    <n v="122"/>
    <n v="2"/>
    <n v="10"/>
    <x v="186"/>
    <x v="1071"/>
    <x v="0"/>
  </r>
  <r>
    <n v="1074"/>
    <n v="324"/>
    <n v="42"/>
    <n v="343"/>
    <x v="447"/>
    <x v="1072"/>
    <x v="1"/>
  </r>
  <r>
    <n v="1075"/>
    <n v="324"/>
    <n v="42"/>
    <n v="343"/>
    <x v="140"/>
    <x v="1073"/>
    <x v="1"/>
  </r>
  <r>
    <n v="1076"/>
    <n v="98"/>
    <n v="2"/>
    <n v="4"/>
    <x v="448"/>
    <x v="1074"/>
    <x v="2"/>
  </r>
  <r>
    <n v="1077"/>
    <n v="212"/>
    <n v="18"/>
    <n v="106"/>
    <x v="418"/>
    <x v="1075"/>
    <x v="0"/>
  </r>
  <r>
    <n v="1078"/>
    <n v="108"/>
    <n v="176"/>
    <n v="42"/>
    <x v="0"/>
    <x v="1076"/>
    <x v="0"/>
  </r>
  <r>
    <n v="1079"/>
    <n v="182"/>
    <n v="32"/>
    <n v="6"/>
    <x v="0"/>
    <x v="1077"/>
    <x v="0"/>
  </r>
  <r>
    <n v="1080"/>
    <n v="301"/>
    <n v="55"/>
    <n v="9"/>
    <x v="0"/>
    <x v="1078"/>
    <x v="1"/>
  </r>
  <r>
    <n v="1081"/>
    <n v="273"/>
    <n v="175"/>
    <n v="22"/>
    <x v="0"/>
    <x v="1079"/>
    <x v="0"/>
  </r>
  <r>
    <n v="1082"/>
    <n v="289"/>
    <n v="16"/>
    <n v="25"/>
    <x v="0"/>
    <x v="1080"/>
    <x v="0"/>
  </r>
  <r>
    <n v="1083"/>
    <n v="174"/>
    <n v="196"/>
    <n v="10"/>
    <x v="0"/>
    <x v="1081"/>
    <x v="0"/>
  </r>
  <r>
    <n v="1084"/>
    <n v="201"/>
    <n v="188"/>
    <n v="14"/>
    <x v="0"/>
    <x v="1082"/>
    <x v="0"/>
  </r>
  <r>
    <n v="1085"/>
    <n v="448"/>
    <n v="145"/>
    <n v="423"/>
    <x v="172"/>
    <x v="1083"/>
    <x v="1"/>
  </r>
  <r>
    <n v="1086"/>
    <n v="183"/>
    <n v="12"/>
    <n v="144"/>
    <x v="138"/>
    <x v="1084"/>
    <x v="0"/>
  </r>
  <r>
    <n v="1087"/>
    <n v="98"/>
    <n v="219"/>
    <n v="11"/>
    <x v="0"/>
    <x v="1085"/>
    <x v="2"/>
  </r>
  <r>
    <n v="1088"/>
    <n v="137"/>
    <n v="15"/>
    <n v="81"/>
    <x v="164"/>
    <x v="1086"/>
    <x v="0"/>
  </r>
  <r>
    <n v="1089"/>
    <n v="274"/>
    <n v="16"/>
    <n v="22"/>
    <x v="32"/>
    <x v="1087"/>
    <x v="0"/>
  </r>
  <r>
    <n v="1090"/>
    <n v="84"/>
    <n v="105"/>
    <n v="46"/>
    <x v="38"/>
    <x v="1088"/>
    <x v="2"/>
  </r>
  <r>
    <n v="1091"/>
    <n v="132"/>
    <n v="197"/>
    <n v="32"/>
    <x v="33"/>
    <x v="1089"/>
    <x v="0"/>
  </r>
  <r>
    <n v="1092"/>
    <n v="123"/>
    <n v="104"/>
    <n v="86"/>
    <x v="37"/>
    <x v="1090"/>
    <x v="0"/>
  </r>
  <r>
    <n v="1093"/>
    <n v="360"/>
    <n v="573"/>
    <n v="6"/>
    <x v="449"/>
    <x v="1091"/>
    <x v="1"/>
  </r>
  <r>
    <n v="1094"/>
    <n v="268"/>
    <n v="239"/>
    <n v="127"/>
    <x v="450"/>
    <x v="1092"/>
    <x v="0"/>
  </r>
  <r>
    <n v="1095"/>
    <n v="126"/>
    <n v="14"/>
    <n v="72"/>
    <x v="26"/>
    <x v="1093"/>
    <x v="0"/>
  </r>
  <r>
    <n v="1096"/>
    <n v="281"/>
    <n v="375"/>
    <n v="3"/>
    <x v="20"/>
    <x v="1094"/>
    <x v="0"/>
  </r>
  <r>
    <n v="1097"/>
    <n v="338"/>
    <n v="211"/>
    <n v="27"/>
    <x v="29"/>
    <x v="1095"/>
    <x v="1"/>
  </r>
  <r>
    <n v="1098"/>
    <n v="344"/>
    <n v="30"/>
    <n v="20"/>
    <x v="250"/>
    <x v="1096"/>
    <x v="1"/>
  </r>
  <r>
    <n v="1099"/>
    <n v="166"/>
    <n v="23"/>
    <n v="28"/>
    <x v="451"/>
    <x v="1097"/>
    <x v="0"/>
  </r>
  <r>
    <n v="1100"/>
    <n v="283"/>
    <n v="121"/>
    <n v="168"/>
    <x v="76"/>
    <x v="1098"/>
    <x v="0"/>
  </r>
  <r>
    <n v="1101"/>
    <n v="110"/>
    <n v="155"/>
    <n v="5"/>
    <x v="177"/>
    <x v="1099"/>
    <x v="0"/>
  </r>
  <r>
    <n v="1102"/>
    <n v="179"/>
    <n v="225"/>
    <n v="35"/>
    <x v="392"/>
    <x v="1100"/>
    <x v="0"/>
  </r>
  <r>
    <n v="1103"/>
    <n v="274"/>
    <n v="129"/>
    <n v="186"/>
    <x v="406"/>
    <x v="1101"/>
    <x v="0"/>
  </r>
  <r>
    <n v="1104"/>
    <n v="1267"/>
    <n v="14"/>
    <n v="73"/>
    <x v="28"/>
    <x v="1102"/>
    <x v="1"/>
  </r>
  <r>
    <n v="1105"/>
    <n v="22"/>
    <n v="23"/>
    <n v="3"/>
    <x v="27"/>
    <x v="1103"/>
    <x v="2"/>
  </r>
  <r>
    <n v="1106"/>
    <n v="9"/>
    <n v="1"/>
    <n v="1"/>
    <x v="31"/>
    <x v="1104"/>
    <x v="2"/>
  </r>
  <r>
    <n v="1107"/>
    <n v="30"/>
    <n v="19"/>
    <n v="5"/>
    <x v="112"/>
    <x v="1105"/>
    <x v="2"/>
  </r>
  <r>
    <n v="1108"/>
    <n v="19"/>
    <n v="13"/>
    <n v="2"/>
    <x v="251"/>
    <x v="1106"/>
    <x v="2"/>
  </r>
  <r>
    <n v="1109"/>
    <n v="92"/>
    <n v="5"/>
    <n v="11"/>
    <x v="226"/>
    <x v="1107"/>
    <x v="2"/>
  </r>
  <r>
    <n v="1110"/>
    <n v="64"/>
    <n v="1"/>
    <n v="31"/>
    <x v="37"/>
    <x v="1108"/>
    <x v="2"/>
  </r>
  <r>
    <n v="1111"/>
    <n v="111"/>
    <n v="9"/>
    <n v="23"/>
    <x v="281"/>
    <x v="1109"/>
    <x v="0"/>
  </r>
  <r>
    <n v="1112"/>
    <n v="92"/>
    <n v="5"/>
    <n v="11"/>
    <x v="226"/>
    <x v="1110"/>
    <x v="2"/>
  </r>
  <r>
    <n v="1113"/>
    <n v="29"/>
    <n v="7"/>
    <n v="6"/>
    <x v="34"/>
    <x v="1111"/>
    <x v="2"/>
  </r>
  <r>
    <n v="1114"/>
    <n v="49"/>
    <n v="17"/>
    <n v="3"/>
    <x v="452"/>
    <x v="1112"/>
    <x v="2"/>
  </r>
  <r>
    <n v="1115"/>
    <n v="178"/>
    <n v="26"/>
    <n v="139"/>
    <x v="408"/>
    <x v="1113"/>
    <x v="0"/>
  </r>
  <r>
    <n v="1116"/>
    <n v="133"/>
    <n v="73"/>
    <n v="66"/>
    <x v="16"/>
    <x v="1114"/>
    <x v="0"/>
  </r>
  <r>
    <n v="1117"/>
    <n v="64"/>
    <n v="21"/>
    <n v="6"/>
    <x v="453"/>
    <x v="1115"/>
    <x v="2"/>
  </r>
  <r>
    <n v="1118"/>
    <n v="36"/>
    <n v="27"/>
    <n v="7"/>
    <x v="189"/>
    <x v="1116"/>
    <x v="2"/>
  </r>
  <r>
    <n v="1119"/>
    <n v="49"/>
    <n v="31"/>
    <n v="25"/>
    <x v="71"/>
    <x v="1117"/>
    <x v="2"/>
  </r>
  <r>
    <n v="1120"/>
    <n v="27"/>
    <n v="13"/>
    <n v="2"/>
    <x v="29"/>
    <x v="1118"/>
    <x v="2"/>
  </r>
  <r>
    <n v="1121"/>
    <n v="67"/>
    <n v="52"/>
    <n v="29"/>
    <x v="379"/>
    <x v="1119"/>
    <x v="2"/>
  </r>
  <r>
    <n v="1122"/>
    <n v="57"/>
    <n v="54"/>
    <n v="26"/>
    <x v="179"/>
    <x v="1120"/>
    <x v="2"/>
  </r>
  <r>
    <n v="1123"/>
    <n v="15"/>
    <n v="12"/>
    <n v="2"/>
    <x v="251"/>
    <x v="1121"/>
    <x v="2"/>
  </r>
  <r>
    <n v="1124"/>
    <n v="17"/>
    <n v="17"/>
    <n v="3"/>
    <x v="32"/>
    <x v="1122"/>
    <x v="2"/>
  </r>
  <r>
    <n v="1125"/>
    <n v="19"/>
    <n v="27"/>
    <n v="2"/>
    <x v="251"/>
    <x v="1123"/>
    <x v="2"/>
  </r>
  <r>
    <n v="1126"/>
    <n v="20"/>
    <n v="1"/>
    <n v="1"/>
    <x v="244"/>
    <x v="1124"/>
    <x v="2"/>
  </r>
  <r>
    <n v="1127"/>
    <n v="28"/>
    <n v="5"/>
    <n v="2"/>
    <x v="63"/>
    <x v="1125"/>
    <x v="2"/>
  </r>
  <r>
    <n v="1128"/>
    <n v="1925"/>
    <n v="45"/>
    <n v="6"/>
    <x v="256"/>
    <x v="1126"/>
    <x v="1"/>
  </r>
  <r>
    <n v="1129"/>
    <n v="64"/>
    <n v="6"/>
    <n v="3"/>
    <x v="22"/>
    <x v="1127"/>
    <x v="2"/>
  </r>
  <r>
    <n v="1130"/>
    <n v="353"/>
    <n v="7"/>
    <n v="2"/>
    <x v="454"/>
    <x v="1128"/>
    <x v="1"/>
  </r>
  <r>
    <n v="1131"/>
    <n v="88"/>
    <n v="79"/>
    <n v="16"/>
    <x v="408"/>
    <x v="1129"/>
    <x v="2"/>
  </r>
  <r>
    <n v="1132"/>
    <n v="298"/>
    <n v="8"/>
    <n v="238"/>
    <x v="159"/>
    <x v="1130"/>
    <x v="0"/>
  </r>
  <r>
    <n v="1133"/>
    <n v="478"/>
    <n v="25"/>
    <n v="212"/>
    <x v="455"/>
    <x v="1131"/>
    <x v="1"/>
  </r>
  <r>
    <n v="1134"/>
    <n v="213"/>
    <n v="0"/>
    <n v="0"/>
    <x v="243"/>
    <x v="1132"/>
    <x v="0"/>
  </r>
  <r>
    <n v="1135"/>
    <n v="88"/>
    <n v="32"/>
    <n v="8"/>
    <x v="37"/>
    <x v="1133"/>
    <x v="2"/>
  </r>
  <r>
    <n v="1136"/>
    <n v="474"/>
    <n v="112"/>
    <n v="425"/>
    <x v="404"/>
    <x v="1134"/>
    <x v="1"/>
  </r>
  <r>
    <n v="1137"/>
    <n v="81"/>
    <n v="51"/>
    <n v="45"/>
    <x v="379"/>
    <x v="1135"/>
    <x v="2"/>
  </r>
  <r>
    <n v="1138"/>
    <n v="285"/>
    <n v="1"/>
    <n v="18"/>
    <x v="72"/>
    <x v="1136"/>
    <x v="0"/>
  </r>
  <r>
    <n v="1139"/>
    <n v="146"/>
    <n v="12"/>
    <n v="3"/>
    <x v="456"/>
    <x v="1137"/>
    <x v="0"/>
  </r>
  <r>
    <n v="1140"/>
    <n v="173"/>
    <n v="5"/>
    <n v="1"/>
    <x v="457"/>
    <x v="1138"/>
    <x v="0"/>
  </r>
  <r>
    <n v="1141"/>
    <n v="953"/>
    <n v="44"/>
    <n v="22"/>
    <x v="173"/>
    <x v="1139"/>
    <x v="1"/>
  </r>
  <r>
    <n v="1142"/>
    <n v="65"/>
    <n v="1"/>
    <n v="3"/>
    <x v="39"/>
    <x v="1140"/>
    <x v="2"/>
  </r>
  <r>
    <n v="1143"/>
    <n v="213"/>
    <n v="0"/>
    <n v="0"/>
    <x v="243"/>
    <x v="1141"/>
    <x v="0"/>
  </r>
  <r>
    <n v="1144"/>
    <n v="71"/>
    <n v="75"/>
    <n v="36"/>
    <x v="241"/>
    <x v="1142"/>
    <x v="2"/>
  </r>
  <r>
    <n v="1145"/>
    <n v="49"/>
    <n v="58"/>
    <n v="5"/>
    <x v="10"/>
    <x v="1143"/>
    <x v="2"/>
  </r>
  <r>
    <n v="1146"/>
    <n v="68"/>
    <n v="9"/>
    <n v="19"/>
    <x v="61"/>
    <x v="1144"/>
    <x v="2"/>
  </r>
  <r>
    <n v="1147"/>
    <n v="34"/>
    <n v="55"/>
    <n v="8"/>
    <x v="30"/>
    <x v="1145"/>
    <x v="2"/>
  </r>
  <r>
    <n v="1148"/>
    <n v="71"/>
    <n v="74"/>
    <n v="26"/>
    <x v="65"/>
    <x v="1146"/>
    <x v="2"/>
  </r>
  <r>
    <n v="1149"/>
    <n v="12"/>
    <n v="5"/>
    <n v="1"/>
    <x v="38"/>
    <x v="1147"/>
    <x v="2"/>
  </r>
  <r>
    <n v="1150"/>
    <n v="15"/>
    <n v="6"/>
    <n v="1"/>
    <x v="179"/>
    <x v="1148"/>
    <x v="2"/>
  </r>
  <r>
    <n v="1151"/>
    <n v="89"/>
    <n v="72"/>
    <n v="5"/>
    <x v="50"/>
    <x v="1149"/>
    <x v="2"/>
  </r>
  <r>
    <n v="1152"/>
    <n v="42"/>
    <n v="39"/>
    <n v="17"/>
    <x v="72"/>
    <x v="1150"/>
    <x v="2"/>
  </r>
  <r>
    <n v="1153"/>
    <n v="110"/>
    <n v="29"/>
    <n v="95"/>
    <x v="75"/>
    <x v="1151"/>
    <x v="0"/>
  </r>
  <r>
    <n v="1154"/>
    <n v="135"/>
    <n v="25"/>
    <n v="88"/>
    <x v="177"/>
    <x v="1152"/>
    <x v="0"/>
  </r>
  <r>
    <n v="1155"/>
    <n v="1275"/>
    <n v="26"/>
    <n v="94"/>
    <x v="15"/>
    <x v="1153"/>
    <x v="1"/>
  </r>
  <r>
    <n v="1156"/>
    <n v="92"/>
    <n v="118"/>
    <n v="43"/>
    <x v="138"/>
    <x v="1154"/>
    <x v="2"/>
  </r>
  <r>
    <n v="1157"/>
    <n v="38"/>
    <n v="26"/>
    <n v="23"/>
    <x v="9"/>
    <x v="1155"/>
    <x v="2"/>
  </r>
  <r>
    <n v="1158"/>
    <n v="60"/>
    <n v="35"/>
    <n v="45"/>
    <x v="28"/>
    <x v="1156"/>
    <x v="2"/>
  </r>
  <r>
    <n v="1159"/>
    <n v="127"/>
    <n v="59"/>
    <n v="66"/>
    <x v="30"/>
    <x v="1157"/>
    <x v="0"/>
  </r>
  <r>
    <n v="1160"/>
    <n v="94"/>
    <n v="3"/>
    <n v="68"/>
    <x v="379"/>
    <x v="1158"/>
    <x v="2"/>
  </r>
  <r>
    <n v="1161"/>
    <n v="75"/>
    <n v="36"/>
    <n v="52"/>
    <x v="66"/>
    <x v="1159"/>
    <x v="2"/>
  </r>
  <r>
    <n v="1162"/>
    <n v="80"/>
    <n v="32"/>
    <n v="35"/>
    <x v="164"/>
    <x v="1160"/>
    <x v="2"/>
  </r>
  <r>
    <n v="1163"/>
    <n v="86"/>
    <n v="23"/>
    <n v="85"/>
    <x v="0"/>
    <x v="1161"/>
    <x v="2"/>
  </r>
  <r>
    <n v="1164"/>
    <n v="1171"/>
    <n v="4"/>
    <n v="86"/>
    <x v="114"/>
    <x v="1162"/>
    <x v="1"/>
  </r>
  <r>
    <n v="1165"/>
    <n v="139"/>
    <n v="74"/>
    <n v="21"/>
    <x v="221"/>
    <x v="1163"/>
    <x v="0"/>
  </r>
  <r>
    <n v="1166"/>
    <n v="101"/>
    <n v="17"/>
    <n v="6"/>
    <x v="458"/>
    <x v="1164"/>
    <x v="0"/>
  </r>
  <r>
    <n v="1167"/>
    <n v="75"/>
    <n v="56"/>
    <n v="4"/>
    <x v="131"/>
    <x v="1165"/>
    <x v="2"/>
  </r>
  <r>
    <n v="1168"/>
    <n v="119"/>
    <n v="14"/>
    <n v="2"/>
    <x v="459"/>
    <x v="1166"/>
    <x v="0"/>
  </r>
  <r>
    <n v="1169"/>
    <n v="126"/>
    <n v="16"/>
    <n v="2"/>
    <x v="448"/>
    <x v="1167"/>
    <x v="0"/>
  </r>
  <r>
    <n v="1170"/>
    <n v="418"/>
    <n v="19"/>
    <n v="9"/>
    <x v="292"/>
    <x v="1168"/>
    <x v="1"/>
  </r>
  <r>
    <n v="1171"/>
    <n v="513"/>
    <n v="246"/>
    <n v="30"/>
    <x v="460"/>
    <x v="1169"/>
    <x v="1"/>
  </r>
  <r>
    <n v="1172"/>
    <n v="64"/>
    <n v="43"/>
    <n v="23"/>
    <x v="171"/>
    <x v="1170"/>
    <x v="2"/>
  </r>
  <r>
    <n v="1173"/>
    <n v="41"/>
    <n v="35"/>
    <n v="25"/>
    <x v="34"/>
    <x v="1171"/>
    <x v="2"/>
  </r>
  <r>
    <n v="1174"/>
    <n v="336"/>
    <n v="82"/>
    <n v="10"/>
    <x v="243"/>
    <x v="1172"/>
    <x v="1"/>
  </r>
  <r>
    <n v="1175"/>
    <n v="138"/>
    <n v="7"/>
    <n v="79"/>
    <x v="24"/>
    <x v="1173"/>
    <x v="0"/>
  </r>
  <r>
    <n v="1176"/>
    <n v="160"/>
    <n v="63"/>
    <n v="12"/>
    <x v="188"/>
    <x v="1174"/>
    <x v="0"/>
  </r>
  <r>
    <n v="1177"/>
    <n v="61"/>
    <n v="32"/>
    <n v="35"/>
    <x v="250"/>
    <x v="1175"/>
    <x v="2"/>
  </r>
  <r>
    <n v="1178"/>
    <n v="36"/>
    <n v="35"/>
    <n v="1"/>
    <x v="379"/>
    <x v="1176"/>
    <x v="2"/>
  </r>
  <r>
    <n v="1179"/>
    <n v="359"/>
    <n v="356"/>
    <n v="1"/>
    <x v="123"/>
    <x v="1177"/>
    <x v="1"/>
  </r>
  <r>
    <n v="1180"/>
    <n v="36"/>
    <n v="35"/>
    <n v="1"/>
    <x v="379"/>
    <x v="1178"/>
    <x v="2"/>
  </r>
  <r>
    <n v="1181"/>
    <n v="87"/>
    <n v="53"/>
    <n v="52"/>
    <x v="60"/>
    <x v="1179"/>
    <x v="2"/>
  </r>
  <r>
    <n v="1182"/>
    <n v="90"/>
    <n v="15"/>
    <n v="1"/>
    <x v="245"/>
    <x v="1180"/>
    <x v="2"/>
  </r>
  <r>
    <n v="1183"/>
    <n v="69"/>
    <n v="1"/>
    <n v="1"/>
    <x v="461"/>
    <x v="1181"/>
    <x v="2"/>
  </r>
  <r>
    <n v="1184"/>
    <n v="74"/>
    <n v="14"/>
    <n v="1"/>
    <x v="154"/>
    <x v="1182"/>
    <x v="2"/>
  </r>
  <r>
    <n v="1185"/>
    <n v="347"/>
    <n v="5"/>
    <n v="9"/>
    <x v="462"/>
    <x v="1183"/>
    <x v="1"/>
  </r>
  <r>
    <n v="1186"/>
    <n v="68"/>
    <n v="78"/>
    <n v="46"/>
    <x v="23"/>
    <x v="1184"/>
    <x v="2"/>
  </r>
  <r>
    <n v="1187"/>
    <n v="115"/>
    <n v="97"/>
    <n v="85"/>
    <x v="235"/>
    <x v="1185"/>
    <x v="0"/>
  </r>
  <r>
    <n v="1188"/>
    <n v="328"/>
    <n v="126"/>
    <n v="199"/>
    <x v="463"/>
    <x v="1186"/>
    <x v="1"/>
  </r>
  <r>
    <n v="1189"/>
    <n v="148"/>
    <n v="138"/>
    <n v="85"/>
    <x v="27"/>
    <x v="1187"/>
    <x v="0"/>
  </r>
  <r>
    <n v="1190"/>
    <n v="120"/>
    <n v="15"/>
    <n v="3"/>
    <x v="301"/>
    <x v="1188"/>
    <x v="0"/>
  </r>
  <r>
    <n v="1191"/>
    <n v="163"/>
    <n v="23"/>
    <n v="5"/>
    <x v="349"/>
    <x v="1189"/>
    <x v="0"/>
  </r>
  <r>
    <n v="1192"/>
    <n v="115"/>
    <n v="18"/>
    <n v="5"/>
    <x v="464"/>
    <x v="1190"/>
    <x v="0"/>
  </r>
  <r>
    <n v="1193"/>
    <n v="120"/>
    <n v="15"/>
    <n v="3"/>
    <x v="301"/>
    <x v="1191"/>
    <x v="0"/>
  </r>
  <r>
    <n v="1194"/>
    <n v="98"/>
    <n v="19"/>
    <n v="2"/>
    <x v="387"/>
    <x v="1192"/>
    <x v="2"/>
  </r>
  <r>
    <n v="1195"/>
    <n v="166"/>
    <n v="104"/>
    <n v="49"/>
    <x v="17"/>
    <x v="1193"/>
    <x v="0"/>
  </r>
  <r>
    <n v="1196"/>
    <n v="88"/>
    <n v="32"/>
    <n v="21"/>
    <x v="138"/>
    <x v="1194"/>
    <x v="2"/>
  </r>
  <r>
    <n v="1197"/>
    <n v="76"/>
    <n v="9"/>
    <n v="26"/>
    <x v="142"/>
    <x v="1195"/>
    <x v="2"/>
  </r>
  <r>
    <n v="1198"/>
    <n v="28"/>
    <n v="3"/>
    <n v="8"/>
    <x v="27"/>
    <x v="1196"/>
    <x v="2"/>
  </r>
  <r>
    <n v="1199"/>
    <n v="34"/>
    <n v="37"/>
    <n v="12"/>
    <x v="250"/>
    <x v="1197"/>
    <x v="2"/>
  </r>
  <r>
    <n v="1200"/>
    <n v="104"/>
    <n v="129"/>
    <n v="68"/>
    <x v="346"/>
    <x v="1198"/>
    <x v="0"/>
  </r>
  <r>
    <n v="1201"/>
    <n v="99"/>
    <n v="17"/>
    <n v="3"/>
    <x v="226"/>
    <x v="1199"/>
    <x v="2"/>
  </r>
  <r>
    <n v="1202"/>
    <n v="166"/>
    <n v="38"/>
    <n v="1"/>
    <x v="88"/>
    <x v="1200"/>
    <x v="0"/>
  </r>
  <r>
    <n v="1203"/>
    <n v="172"/>
    <n v="3"/>
    <n v="5"/>
    <x v="92"/>
    <x v="1201"/>
    <x v="0"/>
  </r>
  <r>
    <n v="1204"/>
    <n v="169"/>
    <n v="14"/>
    <n v="3"/>
    <x v="321"/>
    <x v="1202"/>
    <x v="0"/>
  </r>
  <r>
    <n v="1205"/>
    <n v="358"/>
    <n v="75"/>
    <n v="43"/>
    <x v="465"/>
    <x v="1203"/>
    <x v="1"/>
  </r>
  <r>
    <n v="1206"/>
    <n v="277"/>
    <n v="91"/>
    <n v="47"/>
    <x v="386"/>
    <x v="1204"/>
    <x v="0"/>
  </r>
  <r>
    <n v="1207"/>
    <n v="25"/>
    <n v="46"/>
    <n v="4"/>
    <x v="32"/>
    <x v="1205"/>
    <x v="2"/>
  </r>
  <r>
    <n v="1208"/>
    <n v="83"/>
    <n v="104"/>
    <n v="34"/>
    <x v="72"/>
    <x v="1206"/>
    <x v="2"/>
  </r>
  <r>
    <n v="1209"/>
    <n v="132"/>
    <n v="195"/>
    <n v="7"/>
    <x v="466"/>
    <x v="1207"/>
    <x v="0"/>
  </r>
  <r>
    <n v="1210"/>
    <n v="300"/>
    <n v="283"/>
    <n v="48"/>
    <x v="162"/>
    <x v="1208"/>
    <x v="0"/>
  </r>
  <r>
    <n v="1211"/>
    <n v="299"/>
    <n v="241"/>
    <n v="35"/>
    <x v="190"/>
    <x v="1209"/>
    <x v="0"/>
  </r>
  <r>
    <n v="1212"/>
    <n v="34"/>
    <n v="2"/>
    <n v="1"/>
    <x v="146"/>
    <x v="1210"/>
    <x v="2"/>
  </r>
  <r>
    <n v="1213"/>
    <n v="294"/>
    <n v="83"/>
    <n v="17"/>
    <x v="467"/>
    <x v="1211"/>
    <x v="0"/>
  </r>
  <r>
    <n v="1214"/>
    <n v="53"/>
    <n v="19"/>
    <n v="9"/>
    <x v="165"/>
    <x v="1212"/>
    <x v="2"/>
  </r>
  <r>
    <n v="1215"/>
    <n v="162"/>
    <n v="128"/>
    <n v="115"/>
    <x v="25"/>
    <x v="1213"/>
    <x v="0"/>
  </r>
  <r>
    <n v="1216"/>
    <n v="361"/>
    <n v="193"/>
    <n v="319"/>
    <x v="25"/>
    <x v="1214"/>
    <x v="1"/>
  </r>
  <r>
    <n v="1217"/>
    <n v="50"/>
    <n v="108"/>
    <n v="0"/>
    <x v="37"/>
    <x v="1215"/>
    <x v="2"/>
  </r>
  <r>
    <n v="1218"/>
    <n v="383"/>
    <n v="151"/>
    <n v="329"/>
    <x v="15"/>
    <x v="1216"/>
    <x v="1"/>
  </r>
  <r>
    <n v="1219"/>
    <n v="251"/>
    <n v="163"/>
    <n v="194"/>
    <x v="138"/>
    <x v="1217"/>
    <x v="0"/>
  </r>
  <r>
    <n v="1220"/>
    <n v="179"/>
    <n v="136"/>
    <n v="133"/>
    <x v="112"/>
    <x v="1218"/>
    <x v="0"/>
  </r>
  <r>
    <n v="1221"/>
    <n v="386"/>
    <n v="17"/>
    <n v="35"/>
    <x v="37"/>
    <x v="1219"/>
    <x v="1"/>
  </r>
  <r>
    <n v="1222"/>
    <n v="54"/>
    <n v="11"/>
    <n v="0"/>
    <x v="37"/>
    <x v="1220"/>
    <x v="2"/>
  </r>
  <r>
    <n v="1223"/>
    <n v="54"/>
    <n v="11"/>
    <n v="0"/>
    <x v="37"/>
    <x v="1221"/>
    <x v="2"/>
  </r>
  <r>
    <n v="1224"/>
    <n v="320"/>
    <n v="151"/>
    <n v="305"/>
    <x v="164"/>
    <x v="1222"/>
    <x v="1"/>
  </r>
  <r>
    <n v="1225"/>
    <n v="301"/>
    <n v="20"/>
    <n v="237"/>
    <x v="0"/>
    <x v="1223"/>
    <x v="1"/>
  </r>
  <r>
    <n v="1226"/>
    <n v="187"/>
    <n v="109"/>
    <n v="124"/>
    <x v="146"/>
    <x v="1224"/>
    <x v="0"/>
  </r>
  <r>
    <n v="1227"/>
    <n v="195"/>
    <n v="136"/>
    <n v="136"/>
    <x v="138"/>
    <x v="1225"/>
    <x v="0"/>
  </r>
  <r>
    <n v="1228"/>
    <n v="116"/>
    <n v="107"/>
    <n v="7"/>
    <x v="23"/>
    <x v="1226"/>
    <x v="0"/>
  </r>
  <r>
    <n v="1229"/>
    <n v="144"/>
    <n v="12"/>
    <n v="102"/>
    <x v="0"/>
    <x v="1227"/>
    <x v="0"/>
  </r>
  <r>
    <n v="1230"/>
    <n v="425"/>
    <n v="31"/>
    <n v="28"/>
    <x v="59"/>
    <x v="1228"/>
    <x v="1"/>
  </r>
  <r>
    <n v="1231"/>
    <n v="119"/>
    <n v="44"/>
    <n v="35"/>
    <x v="118"/>
    <x v="1229"/>
    <x v="0"/>
  </r>
  <r>
    <n v="1232"/>
    <n v="73"/>
    <n v="57"/>
    <n v="13"/>
    <x v="49"/>
    <x v="1230"/>
    <x v="2"/>
  </r>
  <r>
    <n v="1233"/>
    <n v="76"/>
    <n v="68"/>
    <n v="7"/>
    <x v="408"/>
    <x v="1231"/>
    <x v="2"/>
  </r>
  <r>
    <n v="1234"/>
    <n v="328"/>
    <n v="184"/>
    <n v="232"/>
    <x v="14"/>
    <x v="1232"/>
    <x v="1"/>
  </r>
  <r>
    <n v="1235"/>
    <n v="139"/>
    <n v="125"/>
    <n v="8"/>
    <x v="245"/>
    <x v="1233"/>
    <x v="0"/>
  </r>
  <r>
    <n v="1236"/>
    <n v="212"/>
    <n v="175"/>
    <n v="10"/>
    <x v="280"/>
    <x v="1234"/>
    <x v="0"/>
  </r>
  <r>
    <n v="1237"/>
    <n v="143"/>
    <n v="12"/>
    <n v="55"/>
    <x v="315"/>
    <x v="1235"/>
    <x v="0"/>
  </r>
  <r>
    <n v="1238"/>
    <n v="350"/>
    <n v="245"/>
    <n v="266"/>
    <x v="193"/>
    <x v="1236"/>
    <x v="1"/>
  </r>
  <r>
    <n v="1239"/>
    <n v="201"/>
    <n v="208"/>
    <n v="88"/>
    <x v="191"/>
    <x v="1237"/>
    <x v="0"/>
  </r>
  <r>
    <n v="1240"/>
    <n v="141"/>
    <n v="102"/>
    <n v="13"/>
    <x v="219"/>
    <x v="1238"/>
    <x v="0"/>
  </r>
  <r>
    <n v="1241"/>
    <n v="146"/>
    <n v="117"/>
    <n v="23"/>
    <x v="53"/>
    <x v="1239"/>
    <x v="0"/>
  </r>
  <r>
    <n v="1242"/>
    <n v="131"/>
    <n v="18"/>
    <n v="8"/>
    <x v="28"/>
    <x v="1240"/>
    <x v="0"/>
  </r>
  <r>
    <n v="1243"/>
    <n v="150"/>
    <n v="14"/>
    <n v="77"/>
    <x v="129"/>
    <x v="1241"/>
    <x v="0"/>
  </r>
  <r>
    <n v="1244"/>
    <n v="336"/>
    <n v="20"/>
    <n v="28"/>
    <x v="86"/>
    <x v="1242"/>
    <x v="1"/>
  </r>
  <r>
    <n v="1245"/>
    <n v="240"/>
    <n v="6"/>
    <n v="27"/>
    <x v="388"/>
    <x v="1243"/>
    <x v="0"/>
  </r>
  <r>
    <n v="1246"/>
    <n v="110"/>
    <n v="17"/>
    <n v="13"/>
    <x v="245"/>
    <x v="1244"/>
    <x v="0"/>
  </r>
  <r>
    <n v="1247"/>
    <n v="126"/>
    <n v="11"/>
    <n v="22"/>
    <x v="468"/>
    <x v="1245"/>
    <x v="0"/>
  </r>
  <r>
    <n v="1248"/>
    <n v="355"/>
    <n v="7"/>
    <n v="2"/>
    <x v="444"/>
    <x v="1246"/>
    <x v="1"/>
  </r>
  <r>
    <n v="1249"/>
    <n v="364"/>
    <n v="7"/>
    <n v="5"/>
    <x v="97"/>
    <x v="1247"/>
    <x v="1"/>
  </r>
  <r>
    <n v="1250"/>
    <n v="353"/>
    <n v="7"/>
    <n v="5"/>
    <x v="97"/>
    <x v="1248"/>
    <x v="1"/>
  </r>
  <r>
    <n v="1251"/>
    <n v="353"/>
    <n v="8"/>
    <n v="17"/>
    <x v="469"/>
    <x v="1249"/>
    <x v="1"/>
  </r>
  <r>
    <n v="1252"/>
    <n v="363"/>
    <n v="11"/>
    <n v="5"/>
    <x v="470"/>
    <x v="1250"/>
    <x v="1"/>
  </r>
  <r>
    <n v="1253"/>
    <n v="355"/>
    <n v="7"/>
    <n v="2"/>
    <x v="444"/>
    <x v="1251"/>
    <x v="1"/>
  </r>
  <r>
    <n v="1254"/>
    <n v="364"/>
    <n v="45"/>
    <n v="1"/>
    <x v="471"/>
    <x v="1252"/>
    <x v="1"/>
  </r>
  <r>
    <n v="1255"/>
    <n v="316"/>
    <n v="601"/>
    <n v="65"/>
    <x v="226"/>
    <x v="1253"/>
    <x v="1"/>
  </r>
  <r>
    <n v="1256"/>
    <n v="355"/>
    <n v="92"/>
    <n v="39"/>
    <x v="258"/>
    <x v="1254"/>
    <x v="1"/>
  </r>
  <r>
    <n v="1257"/>
    <n v="355"/>
    <n v="92"/>
    <n v="39"/>
    <x v="258"/>
    <x v="1255"/>
    <x v="1"/>
  </r>
  <r>
    <n v="1258"/>
    <n v="388"/>
    <n v="19"/>
    <n v="75"/>
    <x v="472"/>
    <x v="1256"/>
    <x v="1"/>
  </r>
  <r>
    <n v="1259"/>
    <n v="347"/>
    <n v="359"/>
    <n v="206"/>
    <x v="473"/>
    <x v="1257"/>
    <x v="1"/>
  </r>
  <r>
    <n v="1260"/>
    <n v="347"/>
    <n v="3"/>
    <n v="1"/>
    <x v="440"/>
    <x v="1258"/>
    <x v="1"/>
  </r>
  <r>
    <n v="1261"/>
    <n v="350"/>
    <n v="12"/>
    <n v="6"/>
    <x v="141"/>
    <x v="1259"/>
    <x v="1"/>
  </r>
  <r>
    <n v="1262"/>
    <n v="338"/>
    <n v="29"/>
    <n v="4"/>
    <x v="41"/>
    <x v="1260"/>
    <x v="1"/>
  </r>
  <r>
    <n v="1263"/>
    <n v="353"/>
    <n v="7"/>
    <n v="2"/>
    <x v="454"/>
    <x v="1261"/>
    <x v="1"/>
  </r>
  <r>
    <n v="1264"/>
    <n v="326"/>
    <n v="4"/>
    <n v="4"/>
    <x v="474"/>
    <x v="1262"/>
    <x v="1"/>
  </r>
  <r>
    <n v="1265"/>
    <n v="363"/>
    <n v="11"/>
    <n v="5"/>
    <x v="470"/>
    <x v="1263"/>
    <x v="1"/>
  </r>
  <r>
    <n v="1266"/>
    <n v="353"/>
    <n v="29"/>
    <n v="5"/>
    <x v="475"/>
    <x v="1264"/>
    <x v="1"/>
  </r>
  <r>
    <n v="1267"/>
    <n v="509"/>
    <n v="246"/>
    <n v="30"/>
    <x v="460"/>
    <x v="1265"/>
    <x v="1"/>
  </r>
  <r>
    <n v="1268"/>
    <n v="418"/>
    <n v="19"/>
    <n v="9"/>
    <x v="292"/>
    <x v="1266"/>
    <x v="1"/>
  </r>
  <r>
    <n v="1269"/>
    <n v="362"/>
    <n v="356"/>
    <n v="1"/>
    <x v="123"/>
    <x v="1267"/>
    <x v="1"/>
  </r>
  <r>
    <n v="1270"/>
    <n v="332"/>
    <n v="57"/>
    <n v="6"/>
    <x v="200"/>
    <x v="1268"/>
    <x v="1"/>
  </r>
  <r>
    <n v="1271"/>
    <n v="365"/>
    <n v="89"/>
    <n v="13"/>
    <x v="476"/>
    <x v="1269"/>
    <x v="1"/>
  </r>
  <r>
    <n v="1272"/>
    <n v="354"/>
    <n v="28"/>
    <n v="6"/>
    <x v="475"/>
    <x v="1270"/>
    <x v="1"/>
  </r>
  <r>
    <n v="1273"/>
    <n v="155"/>
    <n v="223"/>
    <n v="29"/>
    <x v="24"/>
    <x v="1271"/>
    <x v="0"/>
  </r>
  <r>
    <n v="1274"/>
    <n v="191"/>
    <n v="331"/>
    <n v="36"/>
    <x v="171"/>
    <x v="1272"/>
    <x v="0"/>
  </r>
  <r>
    <n v="1275"/>
    <n v="174"/>
    <n v="30"/>
    <n v="35"/>
    <x v="66"/>
    <x v="1273"/>
    <x v="0"/>
  </r>
  <r>
    <n v="1276"/>
    <n v="174"/>
    <n v="30"/>
    <n v="35"/>
    <x v="140"/>
    <x v="1273"/>
    <x v="0"/>
  </r>
  <r>
    <n v="1277"/>
    <n v="365"/>
    <n v="237"/>
    <n v="223"/>
    <x v="209"/>
    <x v="1274"/>
    <x v="1"/>
  </r>
  <r>
    <n v="1278"/>
    <n v="462"/>
    <n v="391"/>
    <n v="324"/>
    <x v="66"/>
    <x v="1275"/>
    <x v="1"/>
  </r>
  <r>
    <n v="1279"/>
    <n v="24"/>
    <n v="11"/>
    <n v="2"/>
    <x v="243"/>
    <x v="1276"/>
    <x v="2"/>
  </r>
  <r>
    <n v="1280"/>
    <n v="285"/>
    <n v="43"/>
    <n v="257"/>
    <x v="233"/>
    <x v="1277"/>
    <x v="0"/>
  </r>
  <r>
    <n v="1281"/>
    <n v="39"/>
    <n v="23"/>
    <n v="19"/>
    <x v="38"/>
    <x v="1278"/>
    <x v="2"/>
  </r>
  <r>
    <n v="1282"/>
    <n v="48"/>
    <n v="15"/>
    <n v="3"/>
    <x v="216"/>
    <x v="1279"/>
    <x v="2"/>
  </r>
  <r>
    <n v="1283"/>
    <n v="45"/>
    <n v="19"/>
    <n v="8"/>
    <x v="125"/>
    <x v="1280"/>
    <x v="2"/>
  </r>
  <r>
    <n v="1284"/>
    <n v="23"/>
    <n v="18"/>
    <n v="1"/>
    <x v="184"/>
    <x v="1281"/>
    <x v="2"/>
  </r>
  <r>
    <n v="1285"/>
    <n v="28"/>
    <n v="11"/>
    <n v="2"/>
    <x v="243"/>
    <x v="1282"/>
    <x v="2"/>
  </r>
  <r>
    <n v="1286"/>
    <n v="52"/>
    <n v="21"/>
    <n v="11"/>
    <x v="477"/>
    <x v="1283"/>
    <x v="2"/>
  </r>
  <r>
    <n v="1287"/>
    <n v="52"/>
    <n v="11"/>
    <n v="4"/>
    <x v="16"/>
    <x v="1284"/>
    <x v="2"/>
  </r>
  <r>
    <n v="1288"/>
    <n v="25"/>
    <n v="21"/>
    <n v="1"/>
    <x v="10"/>
    <x v="1285"/>
    <x v="2"/>
  </r>
  <r>
    <n v="1289"/>
    <n v="23"/>
    <n v="18"/>
    <n v="1"/>
    <x v="184"/>
    <x v="1286"/>
    <x v="2"/>
  </r>
  <r>
    <n v="1290"/>
    <n v="59"/>
    <n v="29"/>
    <n v="3"/>
    <x v="36"/>
    <x v="1287"/>
    <x v="2"/>
  </r>
  <r>
    <n v="1291"/>
    <n v="120"/>
    <n v="24"/>
    <n v="4"/>
    <x v="64"/>
    <x v="1288"/>
    <x v="0"/>
  </r>
  <r>
    <n v="1292"/>
    <n v="33"/>
    <n v="12"/>
    <n v="13"/>
    <x v="102"/>
    <x v="1289"/>
    <x v="2"/>
  </r>
  <r>
    <n v="1293"/>
    <n v="516"/>
    <n v="177"/>
    <n v="495"/>
    <x v="0"/>
    <x v="1290"/>
    <x v="1"/>
  </r>
  <r>
    <n v="1294"/>
    <n v="355"/>
    <n v="62"/>
    <n v="12"/>
    <x v="478"/>
    <x v="1291"/>
    <x v="1"/>
  </r>
  <r>
    <n v="1295"/>
    <n v="353"/>
    <n v="24"/>
    <n v="11"/>
    <x v="479"/>
    <x v="1292"/>
    <x v="1"/>
  </r>
  <r>
    <n v="1296"/>
    <n v="395"/>
    <n v="32"/>
    <n v="85"/>
    <x v="480"/>
    <x v="1293"/>
    <x v="1"/>
  </r>
  <r>
    <n v="1297"/>
    <n v="392"/>
    <n v="54"/>
    <n v="285"/>
    <x v="259"/>
    <x v="1294"/>
    <x v="1"/>
  </r>
  <r>
    <n v="1298"/>
    <n v="936"/>
    <n v="44"/>
    <n v="18"/>
    <x v="385"/>
    <x v="1295"/>
    <x v="1"/>
  </r>
  <r>
    <n v="1299"/>
    <n v="23"/>
    <n v="29"/>
    <n v="2"/>
    <x v="102"/>
    <x v="1296"/>
    <x v="2"/>
  </r>
  <r>
    <n v="1300"/>
    <n v="35"/>
    <n v="5"/>
    <n v="2"/>
    <x v="58"/>
    <x v="1297"/>
    <x v="2"/>
  </r>
  <r>
    <n v="1301"/>
    <n v="67"/>
    <n v="9"/>
    <n v="26"/>
    <x v="142"/>
    <x v="1298"/>
    <x v="2"/>
  </r>
  <r>
    <n v="1302"/>
    <n v="28"/>
    <n v="3"/>
    <n v="8"/>
    <x v="27"/>
    <x v="1299"/>
    <x v="2"/>
  </r>
  <r>
    <n v="1303"/>
    <n v="20"/>
    <n v="1"/>
    <n v="2"/>
    <x v="66"/>
    <x v="1300"/>
    <x v="2"/>
  </r>
  <r>
    <n v="1304"/>
    <n v="20"/>
    <n v="1"/>
    <n v="3"/>
    <x v="49"/>
    <x v="1301"/>
    <x v="2"/>
  </r>
  <r>
    <n v="1305"/>
    <n v="24"/>
    <n v="13"/>
    <n v="5"/>
    <x v="120"/>
    <x v="1302"/>
    <x v="2"/>
  </r>
  <r>
    <n v="1306"/>
    <n v="24"/>
    <n v="2"/>
    <n v="7"/>
    <x v="137"/>
    <x v="1303"/>
    <x v="2"/>
  </r>
  <r>
    <n v="1307"/>
    <n v="189"/>
    <n v="113"/>
    <n v="157"/>
    <x v="33"/>
    <x v="1304"/>
    <x v="0"/>
  </r>
  <r>
    <n v="1308"/>
    <n v="48"/>
    <n v="14"/>
    <n v="42"/>
    <x v="64"/>
    <x v="1305"/>
    <x v="2"/>
  </r>
  <r>
    <n v="1309"/>
    <n v="186"/>
    <n v="19"/>
    <n v="2"/>
    <x v="307"/>
    <x v="1306"/>
    <x v="0"/>
  </r>
  <r>
    <n v="1310"/>
    <n v="160"/>
    <n v="37"/>
    <n v="13"/>
    <x v="481"/>
    <x v="1307"/>
    <x v="0"/>
  </r>
  <r>
    <n v="1311"/>
    <n v="100"/>
    <n v="7"/>
    <n v="3"/>
    <x v="220"/>
    <x v="1308"/>
    <x v="2"/>
  </r>
  <r>
    <n v="1312"/>
    <n v="119"/>
    <n v="5"/>
    <n v="4"/>
    <x v="482"/>
    <x v="1309"/>
    <x v="0"/>
  </r>
  <r>
    <n v="1313"/>
    <n v="83"/>
    <n v="15"/>
    <n v="2"/>
    <x v="483"/>
    <x v="1310"/>
    <x v="2"/>
  </r>
  <r>
    <n v="1314"/>
    <n v="123"/>
    <n v="18"/>
    <n v="7"/>
    <x v="422"/>
    <x v="1311"/>
    <x v="0"/>
  </r>
  <r>
    <n v="1315"/>
    <n v="151"/>
    <n v="16"/>
    <n v="3"/>
    <x v="275"/>
    <x v="1312"/>
    <x v="0"/>
  </r>
  <r>
    <n v="1316"/>
    <n v="123"/>
    <n v="18"/>
    <n v="7"/>
    <x v="422"/>
    <x v="1313"/>
    <x v="0"/>
  </r>
  <r>
    <n v="1317"/>
    <n v="114"/>
    <n v="14"/>
    <n v="96"/>
    <x v="327"/>
    <x v="1314"/>
    <x v="0"/>
  </r>
  <r>
    <n v="1318"/>
    <n v="184"/>
    <n v="14"/>
    <n v="3"/>
    <x v="425"/>
    <x v="1315"/>
    <x v="0"/>
  </r>
  <r>
    <n v="1319"/>
    <n v="108"/>
    <n v="5"/>
    <n v="4"/>
    <x v="327"/>
    <x v="1316"/>
    <x v="0"/>
  </r>
  <r>
    <n v="1320"/>
    <n v="165"/>
    <n v="9"/>
    <n v="2"/>
    <x v="378"/>
    <x v="1317"/>
    <x v="0"/>
  </r>
  <r>
    <n v="1321"/>
    <n v="82"/>
    <n v="58"/>
    <n v="13"/>
    <x v="404"/>
    <x v="1318"/>
    <x v="2"/>
  </r>
  <r>
    <n v="1322"/>
    <n v="56"/>
    <n v="114"/>
    <n v="6"/>
    <x v="346"/>
    <x v="1319"/>
    <x v="2"/>
  </r>
  <r>
    <n v="1323"/>
    <n v="81"/>
    <n v="165"/>
    <n v="3"/>
    <x v="32"/>
    <x v="1320"/>
    <x v="2"/>
  </r>
  <r>
    <n v="1324"/>
    <n v="295"/>
    <n v="624"/>
    <n v="23"/>
    <x v="9"/>
    <x v="1321"/>
    <x v="0"/>
  </r>
  <r>
    <n v="1325"/>
    <n v="278"/>
    <n v="626"/>
    <n v="41"/>
    <x v="241"/>
    <x v="1322"/>
    <x v="0"/>
  </r>
  <r>
    <n v="1326"/>
    <n v="273"/>
    <n v="478"/>
    <n v="38"/>
    <x v="453"/>
    <x v="1323"/>
    <x v="0"/>
  </r>
  <r>
    <n v="1327"/>
    <n v="91"/>
    <n v="21"/>
    <n v="2"/>
    <x v="29"/>
    <x v="1324"/>
    <x v="2"/>
  </r>
  <r>
    <n v="1328"/>
    <n v="380"/>
    <n v="119"/>
    <n v="303"/>
    <x v="13"/>
    <x v="1325"/>
    <x v="1"/>
  </r>
  <r>
    <n v="1329"/>
    <n v="241"/>
    <n v="58"/>
    <n v="216"/>
    <x v="58"/>
    <x v="1326"/>
    <x v="0"/>
  </r>
  <r>
    <n v="1330"/>
    <n v="120"/>
    <n v="28"/>
    <n v="5"/>
    <x v="78"/>
    <x v="1327"/>
    <x v="0"/>
  </r>
  <r>
    <n v="1331"/>
    <n v="34"/>
    <n v="24"/>
    <n v="3"/>
    <x v="243"/>
    <x v="1328"/>
    <x v="2"/>
  </r>
  <r>
    <n v="1332"/>
    <n v="130"/>
    <n v="14"/>
    <n v="72"/>
    <x v="26"/>
    <x v="1329"/>
    <x v="0"/>
  </r>
  <r>
    <n v="1333"/>
    <n v="101"/>
    <n v="2"/>
    <n v="2"/>
    <x v="108"/>
    <x v="1330"/>
    <x v="0"/>
  </r>
  <r>
    <n v="1334"/>
    <n v="363"/>
    <n v="87"/>
    <n v="4"/>
    <x v="382"/>
    <x v="1331"/>
    <x v="1"/>
  </r>
  <r>
    <n v="1335"/>
    <n v="303"/>
    <n v="63"/>
    <n v="27"/>
    <x v="21"/>
    <x v="1332"/>
    <x v="1"/>
  </r>
  <r>
    <n v="1336"/>
    <n v="45"/>
    <n v="8"/>
    <n v="9"/>
    <x v="8"/>
    <x v="1333"/>
    <x v="2"/>
  </r>
  <r>
    <n v="1337"/>
    <n v="424"/>
    <n v="13"/>
    <n v="107"/>
    <x v="484"/>
    <x v="1334"/>
    <x v="1"/>
  </r>
  <r>
    <n v="1338"/>
    <n v="568"/>
    <n v="193"/>
    <n v="511"/>
    <x v="394"/>
    <x v="1335"/>
    <x v="1"/>
  </r>
  <r>
    <n v="1339"/>
    <n v="355"/>
    <n v="32"/>
    <n v="151"/>
    <x v="485"/>
    <x v="1336"/>
    <x v="1"/>
  </r>
  <r>
    <n v="1340"/>
    <n v="143"/>
    <n v="31"/>
    <n v="78"/>
    <x v="26"/>
    <x v="1337"/>
    <x v="0"/>
  </r>
  <r>
    <n v="1341"/>
    <n v="452"/>
    <n v="145"/>
    <n v="423"/>
    <x v="172"/>
    <x v="1338"/>
    <x v="1"/>
  </r>
  <r>
    <n v="1342"/>
    <n v="42"/>
    <n v="12"/>
    <n v="6"/>
    <x v="486"/>
    <x v="1339"/>
    <x v="2"/>
  </r>
  <r>
    <n v="1343"/>
    <n v="37"/>
    <n v="1"/>
    <n v="6"/>
    <x v="15"/>
    <x v="1340"/>
    <x v="2"/>
  </r>
  <r>
    <n v="1344"/>
    <n v="28"/>
    <n v="7"/>
    <n v="5"/>
    <x v="60"/>
    <x v="1341"/>
    <x v="2"/>
  </r>
  <r>
    <n v="1345"/>
    <n v="254"/>
    <n v="3"/>
    <n v="11"/>
    <x v="487"/>
    <x v="1342"/>
    <x v="0"/>
  </r>
  <r>
    <n v="1346"/>
    <n v="52"/>
    <n v="33"/>
    <n v="25"/>
    <x v="27"/>
    <x v="134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1252F-3569-47C9-8DF0-526D006FF8B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J110" firstHeaderRow="1" firstDataRow="1" firstDataCol="1" rowPageCount="1" colPageCount="1"/>
  <pivotFields count="7">
    <pivotField showAll="0"/>
    <pivotField showAll="0"/>
    <pivotField showAll="0"/>
    <pivotField showAll="0"/>
    <pivotField axis="axisPage" showAll="0">
      <items count="489">
        <item x="0"/>
        <item x="29"/>
        <item x="38"/>
        <item x="32"/>
        <item x="27"/>
        <item x="34"/>
        <item x="33"/>
        <item x="25"/>
        <item x="37"/>
        <item x="164"/>
        <item x="59"/>
        <item x="30"/>
        <item x="346"/>
        <item x="28"/>
        <item x="138"/>
        <item x="26"/>
        <item x="23"/>
        <item x="31"/>
        <item x="9"/>
        <item x="242"/>
        <item x="347"/>
        <item x="55"/>
        <item x="241"/>
        <item x="172"/>
        <item x="417"/>
        <item x="235"/>
        <item x="64"/>
        <item x="35"/>
        <item x="72"/>
        <item x="251"/>
        <item x="179"/>
        <item x="75"/>
        <item x="137"/>
        <item x="150"/>
        <item x="66"/>
        <item x="71"/>
        <item x="61"/>
        <item x="3"/>
        <item x="50"/>
        <item x="145"/>
        <item x="102"/>
        <item x="49"/>
        <item x="250"/>
        <item x="112"/>
        <item x="65"/>
        <item x="244"/>
        <item x="120"/>
        <item x="189"/>
        <item x="184"/>
        <item x="143"/>
        <item x="379"/>
        <item x="123"/>
        <item x="10"/>
        <item x="248"/>
        <item x="243"/>
        <item x="140"/>
        <item x="58"/>
        <item x="190"/>
        <item x="70"/>
        <item x="236"/>
        <item x="60"/>
        <item x="142"/>
        <item x="62"/>
        <item x="171"/>
        <item x="246"/>
        <item x="11"/>
        <item x="63"/>
        <item x="199"/>
        <item x="188"/>
        <item x="119"/>
        <item x="94"/>
        <item x="175"/>
        <item x="125"/>
        <item x="186"/>
        <item x="4"/>
        <item x="86"/>
        <item x="146"/>
        <item x="97"/>
        <item x="8"/>
        <item x="195"/>
        <item x="15"/>
        <item x="181"/>
        <item x="141"/>
        <item x="477"/>
        <item x="153"/>
        <item x="73"/>
        <item x="170"/>
        <item x="129"/>
        <item x="48"/>
        <item x="486"/>
        <item x="165"/>
        <item x="233"/>
        <item x="114"/>
        <item x="127"/>
        <item x="452"/>
        <item x="24"/>
        <item x="205"/>
        <item x="151"/>
        <item x="12"/>
        <item x="193"/>
        <item x="185"/>
        <item x="408"/>
        <item x="7"/>
        <item x="2"/>
        <item x="130"/>
        <item x="194"/>
        <item x="16"/>
        <item x="216"/>
        <item x="315"/>
        <item x="177"/>
        <item x="116"/>
        <item x="404"/>
        <item x="176"/>
        <item x="182"/>
        <item x="115"/>
        <item x="131"/>
        <item x="192"/>
        <item x="183"/>
        <item x="453"/>
        <item x="122"/>
        <item x="237"/>
        <item x="14"/>
        <item x="280"/>
        <item x="128"/>
        <item x="407"/>
        <item x="392"/>
        <item x="168"/>
        <item x="191"/>
        <item x="406"/>
        <item x="324"/>
        <item x="371"/>
        <item x="36"/>
        <item x="273"/>
        <item x="265"/>
        <item x="169"/>
        <item x="173"/>
        <item x="450"/>
        <item x="252"/>
        <item x="22"/>
        <item x="13"/>
        <item x="385"/>
        <item x="187"/>
        <item x="167"/>
        <item x="77"/>
        <item x="46"/>
        <item x="461"/>
        <item x="174"/>
        <item x="135"/>
        <item x="18"/>
        <item x="166"/>
        <item x="39"/>
        <item x="395"/>
        <item x="268"/>
        <item x="383"/>
        <item x="154"/>
        <item x="306"/>
        <item x="209"/>
        <item x="293"/>
        <item x="396"/>
        <item x="180"/>
        <item x="394"/>
        <item x="133"/>
        <item x="118"/>
        <item x="222"/>
        <item x="352"/>
        <item x="384"/>
        <item x="483"/>
        <item x="212"/>
        <item x="5"/>
        <item x="449"/>
        <item x="217"/>
        <item x="53"/>
        <item x="318"/>
        <item x="108"/>
        <item x="149"/>
        <item x="262"/>
        <item x="247"/>
        <item x="373"/>
        <item x="429"/>
        <item x="213"/>
        <item x="69"/>
        <item x="286"/>
        <item x="76"/>
        <item x="391"/>
        <item x="353"/>
        <item x="1"/>
        <item x="124"/>
        <item x="281"/>
        <item x="245"/>
        <item x="354"/>
        <item x="68"/>
        <item x="226"/>
        <item x="425"/>
        <item x="221"/>
        <item x="393"/>
        <item x="158"/>
        <item x="295"/>
        <item x="57"/>
        <item x="219"/>
        <item x="323"/>
        <item x="54"/>
        <item x="52"/>
        <item x="107"/>
        <item x="387"/>
        <item x="220"/>
        <item x="147"/>
        <item x="17"/>
        <item x="389"/>
        <item x="401"/>
        <item x="448"/>
        <item x="463"/>
        <item x="302"/>
        <item x="368"/>
        <item x="296"/>
        <item x="482"/>
        <item x="132"/>
        <item x="204"/>
        <item x="104"/>
        <item x="327"/>
        <item x="468"/>
        <item x="420"/>
        <item x="464"/>
        <item x="372"/>
        <item x="424"/>
        <item x="414"/>
        <item x="430"/>
        <item x="134"/>
        <item x="283"/>
        <item x="322"/>
        <item x="284"/>
        <item x="287"/>
        <item x="400"/>
        <item x="317"/>
        <item x="422"/>
        <item x="459"/>
        <item x="301"/>
        <item x="100"/>
        <item x="259"/>
        <item x="155"/>
        <item x="304"/>
        <item x="278"/>
        <item x="423"/>
        <item x="161"/>
        <item x="326"/>
        <item x="240"/>
        <item x="314"/>
        <item x="473"/>
        <item x="294"/>
        <item x="402"/>
        <item x="256"/>
        <item x="144"/>
        <item x="136"/>
        <item x="421"/>
        <item x="227"/>
        <item x="261"/>
        <item x="413"/>
        <item x="427"/>
        <item x="439"/>
        <item x="20"/>
        <item x="274"/>
        <item x="67"/>
        <item x="316"/>
        <item x="214"/>
        <item x="451"/>
        <item x="260"/>
        <item x="344"/>
        <item x="254"/>
        <item x="416"/>
        <item x="426"/>
        <item x="325"/>
        <item x="231"/>
        <item x="74"/>
        <item x="88"/>
        <item x="380"/>
        <item x="456"/>
        <item x="458"/>
        <item x="275"/>
        <item x="428"/>
        <item x="91"/>
        <item x="163"/>
        <item x="460"/>
        <item x="349"/>
        <item x="320"/>
        <item x="399"/>
        <item x="211"/>
        <item x="403"/>
        <item x="249"/>
        <item x="87"/>
        <item x="92"/>
        <item x="215"/>
        <item x="348"/>
        <item x="351"/>
        <item x="178"/>
        <item x="415"/>
        <item x="203"/>
        <item x="359"/>
        <item x="224"/>
        <item x="378"/>
        <item x="410"/>
        <item x="321"/>
        <item x="405"/>
        <item x="362"/>
        <item x="81"/>
        <item x="272"/>
        <item x="196"/>
        <item x="6"/>
        <item x="334"/>
        <item x="56"/>
        <item x="411"/>
        <item x="457"/>
        <item x="332"/>
        <item x="436"/>
        <item x="376"/>
        <item x="51"/>
        <item x="431"/>
        <item x="47"/>
        <item x="307"/>
        <item x="110"/>
        <item x="398"/>
        <item x="232"/>
        <item x="361"/>
        <item x="139"/>
        <item x="238"/>
        <item x="159"/>
        <item x="388"/>
        <item x="370"/>
        <item x="386"/>
        <item x="438"/>
        <item x="152"/>
        <item x="329"/>
        <item x="433"/>
        <item x="109"/>
        <item x="279"/>
        <item x="485"/>
        <item x="202"/>
        <item x="335"/>
        <item x="210"/>
        <item x="111"/>
        <item x="366"/>
        <item x="162"/>
        <item x="350"/>
        <item x="319"/>
        <item x="365"/>
        <item x="481"/>
        <item x="228"/>
        <item x="447"/>
        <item x="297"/>
        <item x="300"/>
        <item x="442"/>
        <item x="309"/>
        <item x="288"/>
        <item x="341"/>
        <item x="363"/>
        <item x="156"/>
        <item x="229"/>
        <item x="487"/>
        <item x="305"/>
        <item x="282"/>
        <item x="343"/>
        <item x="418"/>
        <item x="285"/>
        <item x="126"/>
        <item x="310"/>
        <item x="277"/>
        <item x="369"/>
        <item x="312"/>
        <item x="208"/>
        <item x="472"/>
        <item x="276"/>
        <item x="148"/>
        <item x="253"/>
        <item x="397"/>
        <item x="19"/>
        <item x="160"/>
        <item x="291"/>
        <item x="303"/>
        <item x="21"/>
        <item x="441"/>
        <item x="42"/>
        <item x="377"/>
        <item x="201"/>
        <item x="434"/>
        <item x="43"/>
        <item x="328"/>
        <item x="264"/>
        <item x="267"/>
        <item x="419"/>
        <item x="292"/>
        <item x="339"/>
        <item x="342"/>
        <item x="271"/>
        <item x="198"/>
        <item x="290"/>
        <item x="117"/>
        <item x="364"/>
        <item x="298"/>
        <item x="299"/>
        <item x="330"/>
        <item x="269"/>
        <item x="336"/>
        <item x="157"/>
        <item x="466"/>
        <item x="239"/>
        <item x="345"/>
        <item x="446"/>
        <item x="257"/>
        <item x="455"/>
        <item x="313"/>
        <item x="355"/>
        <item x="331"/>
        <item x="465"/>
        <item x="435"/>
        <item x="289"/>
        <item x="338"/>
        <item x="206"/>
        <item x="85"/>
        <item x="255"/>
        <item x="467"/>
        <item x="311"/>
        <item x="270"/>
        <item x="358"/>
        <item x="333"/>
        <item x="258"/>
        <item x="390"/>
        <item x="230"/>
        <item x="89"/>
        <item x="113"/>
        <item x="437"/>
        <item x="200"/>
        <item x="98"/>
        <item x="44"/>
        <item x="480"/>
        <item x="218"/>
        <item x="474"/>
        <item x="443"/>
        <item x="83"/>
        <item x="82"/>
        <item x="476"/>
        <item x="356"/>
        <item x="95"/>
        <item x="40"/>
        <item x="266"/>
        <item x="99"/>
        <item x="93"/>
        <item x="340"/>
        <item x="382"/>
        <item x="80"/>
        <item x="263"/>
        <item x="367"/>
        <item x="90"/>
        <item x="381"/>
        <item x="478"/>
        <item x="101"/>
        <item x="96"/>
        <item x="105"/>
        <item x="374"/>
        <item x="41"/>
        <item x="484"/>
        <item x="197"/>
        <item x="223"/>
        <item x="103"/>
        <item x="357"/>
        <item x="78"/>
        <item x="84"/>
        <item x="409"/>
        <item x="479"/>
        <item x="471"/>
        <item x="469"/>
        <item x="225"/>
        <item x="462"/>
        <item x="475"/>
        <item x="360"/>
        <item x="454"/>
        <item x="375"/>
        <item x="444"/>
        <item x="207"/>
        <item x="440"/>
        <item x="432"/>
        <item x="337"/>
        <item x="79"/>
        <item x="412"/>
        <item x="45"/>
        <item x="106"/>
        <item x="470"/>
        <item x="445"/>
        <item x="234"/>
        <item x="121"/>
        <item x="308"/>
        <item t="default"/>
      </items>
    </pivotField>
    <pivotField axis="axisRow" showAll="0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8"/>
        <item x="757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2"/>
        <item x="1241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294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1"/>
        <item x="1339"/>
        <item x="1342"/>
        <item x="1343"/>
        <item t="default"/>
      </items>
    </pivotField>
    <pivotField showAll="0"/>
  </pivotFields>
  <rowFields count="1">
    <field x="5"/>
  </rowFields>
  <rowItems count="105">
    <i>
      <x/>
    </i>
    <i>
      <x v="2"/>
    </i>
    <i>
      <x v="10"/>
    </i>
    <i>
      <x v="11"/>
    </i>
    <i>
      <x v="12"/>
    </i>
    <i>
      <x v="16"/>
    </i>
    <i>
      <x v="29"/>
    </i>
    <i>
      <x v="48"/>
    </i>
    <i>
      <x v="49"/>
    </i>
    <i>
      <x v="50"/>
    </i>
    <i>
      <x v="86"/>
    </i>
    <i>
      <x v="215"/>
    </i>
    <i>
      <x v="218"/>
    </i>
    <i>
      <x v="220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30"/>
    </i>
    <i>
      <x v="318"/>
    </i>
    <i>
      <x v="321"/>
    </i>
    <i>
      <x v="330"/>
    </i>
    <i>
      <x v="331"/>
    </i>
    <i>
      <x v="339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20"/>
    </i>
    <i>
      <x v="426"/>
    </i>
    <i>
      <x v="432"/>
    </i>
    <i>
      <x v="445"/>
    </i>
    <i>
      <x v="447"/>
    </i>
    <i>
      <x v="448"/>
    </i>
    <i>
      <x v="454"/>
    </i>
    <i>
      <x v="460"/>
    </i>
    <i>
      <x v="463"/>
    </i>
    <i>
      <x v="465"/>
    </i>
    <i>
      <x v="466"/>
    </i>
    <i>
      <x v="467"/>
    </i>
    <i>
      <x v="471"/>
    </i>
    <i>
      <x v="472"/>
    </i>
    <i>
      <x v="477"/>
    </i>
    <i>
      <x v="479"/>
    </i>
    <i>
      <x v="487"/>
    </i>
    <i>
      <x v="489"/>
    </i>
    <i>
      <x v="490"/>
    </i>
    <i>
      <x v="491"/>
    </i>
    <i>
      <x v="498"/>
    </i>
    <i>
      <x v="499"/>
    </i>
    <i>
      <x v="500"/>
    </i>
    <i>
      <x v="501"/>
    </i>
    <i>
      <x v="502"/>
    </i>
    <i>
      <x v="511"/>
    </i>
    <i>
      <x v="516"/>
    </i>
    <i>
      <x v="517"/>
    </i>
    <i>
      <x v="518"/>
    </i>
    <i>
      <x v="558"/>
    </i>
    <i>
      <x v="569"/>
    </i>
    <i>
      <x v="663"/>
    </i>
    <i>
      <x v="669"/>
    </i>
    <i>
      <x v="684"/>
    </i>
    <i>
      <x v="704"/>
    </i>
    <i>
      <x v="719"/>
    </i>
    <i>
      <x v="741"/>
    </i>
    <i>
      <x v="766"/>
    </i>
    <i>
      <x v="813"/>
    </i>
    <i>
      <x v="836"/>
    </i>
    <i>
      <x v="83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66"/>
    </i>
    <i>
      <x v="991"/>
    </i>
    <i>
      <x v="992"/>
    </i>
    <i>
      <x v="993"/>
    </i>
    <i>
      <x v="994"/>
    </i>
    <i>
      <x v="995"/>
    </i>
    <i>
      <x v="1053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5"/>
    </i>
    <i>
      <x v="1161"/>
    </i>
    <i>
      <x v="1223"/>
    </i>
    <i>
      <x v="1227"/>
    </i>
    <i>
      <x v="1290"/>
    </i>
    <i t="grand">
      <x/>
    </i>
  </rowItems>
  <colItems count="1">
    <i/>
  </colItems>
  <pageFields count="1">
    <pageField fld="4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052EA-7E7B-42A2-BE52-9E2672091F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7:E41" firstHeaderRow="0" firstDataRow="1" firstDataCol="1"/>
  <pivotFields count="7">
    <pivotField showAll="0"/>
    <pivotField showAll="0"/>
    <pivotField dataField="1" showAll="0"/>
    <pivotField dataField="1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teins" fld="2" subtotal="average" baseField="6" baseItem="0" numFmtId="164"/>
    <dataField name="Average of fat" fld="3" subtotal="average" baseField="6" baseItem="0" numFmtId="164"/>
    <dataField name="Average of carbohydrate" fld="4" subtotal="average" baseField="6" baseItem="0" numFmtId="164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B6311-37BE-4526-A999-1EC84E7F95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5:C26" firstHeaderRow="1" firstDataRow="1" firstDataCol="1"/>
  <pivotFields count="7">
    <pivotField showAll="0"/>
    <pivotField showAll="0"/>
    <pivotField dataField="1" showAll="0"/>
    <pivotField showAll="0"/>
    <pivotField showAll="0"/>
    <pivotField axis="axisRow" showAll="0" measureFilter="1" sortType="ascending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8"/>
        <item x="757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2"/>
        <item x="1241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294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40"/>
        <item x="1341"/>
        <item x="1339"/>
        <item x="1342"/>
        <item x="13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11">
    <i>
      <x v="1253"/>
    </i>
    <i>
      <x v="513"/>
    </i>
    <i>
      <x v="492"/>
    </i>
    <i>
      <x v="1321"/>
    </i>
    <i>
      <x v="1322"/>
    </i>
    <i>
      <x v="476"/>
    </i>
    <i>
      <x v="517"/>
    </i>
    <i>
      <x v="459"/>
    </i>
    <i>
      <x v="475"/>
    </i>
    <i>
      <x v="319"/>
    </i>
    <i t="grand">
      <x/>
    </i>
  </rowItems>
  <colItems count="1">
    <i/>
  </colItems>
  <dataFields count="1">
    <dataField name="Max. of proteins" fld="2" subtotal="max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5377-9E7A-4C58-A7EA-585AB536B2F5}">
  <dimension ref="A1:H1347"/>
  <sheetViews>
    <sheetView workbookViewId="0">
      <selection activeCell="G10" sqref="G10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10.109375" bestFit="1" customWidth="1"/>
    <col min="4" max="4" width="5.44140625" bestFit="1" customWidth="1"/>
    <col min="5" max="5" width="14.33203125" bestFit="1" customWidth="1"/>
    <col min="6" max="6" width="32.88671875" bestFit="1" customWidth="1"/>
    <col min="7" max="7" width="15.44140625" bestFit="1" customWidth="1"/>
    <col min="8" max="8" width="32.5546875" hidden="1" customWidth="1"/>
  </cols>
  <sheetData>
    <row r="1" spans="1:8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1367</v>
      </c>
      <c r="G1" s="19" t="s">
        <v>1352</v>
      </c>
      <c r="H1" s="19" t="s">
        <v>5</v>
      </c>
    </row>
    <row r="2" spans="1:8" x14ac:dyDescent="0.3">
      <c r="A2" s="21">
        <v>1</v>
      </c>
      <c r="B2" s="22">
        <v>280</v>
      </c>
      <c r="C2" s="22">
        <v>92</v>
      </c>
      <c r="D2" s="22">
        <v>284</v>
      </c>
      <c r="E2" s="22">
        <v>0</v>
      </c>
      <c r="F2" s="24" t="str">
        <f>PROPER(nutrition!$H2)</f>
        <v>Abon</v>
      </c>
      <c r="G2" s="22" t="str">
        <f>IF(nutrition!$B2&gt;300,"Tinggi Kalori",IF(nutrition!$B2&gt;100,"Kalori Sedang","Rendah Kalori"))</f>
        <v>Kalori Sedang</v>
      </c>
      <c r="H2" s="23" t="s">
        <v>6</v>
      </c>
    </row>
    <row r="3" spans="1:8" x14ac:dyDescent="0.3">
      <c r="A3" s="25">
        <v>2</v>
      </c>
      <c r="B3" s="26">
        <v>513</v>
      </c>
      <c r="C3" s="26">
        <v>237</v>
      </c>
      <c r="D3" s="26">
        <v>37</v>
      </c>
      <c r="E3" s="26">
        <v>213</v>
      </c>
      <c r="F3" s="28" t="str">
        <f>PROPER(nutrition!$H3)</f>
        <v>Abon Haruwan</v>
      </c>
      <c r="G3" s="26" t="str">
        <f>IF(nutrition!$B3&gt;300,"Tinggi Kalori",IF(nutrition!$B3&gt;100,"Kalori Sedang","Rendah Kalori"))</f>
        <v>Tinggi Kalori</v>
      </c>
      <c r="H3" s="27" t="s">
        <v>7</v>
      </c>
    </row>
    <row r="4" spans="1:8" x14ac:dyDescent="0.3">
      <c r="A4" s="21">
        <v>3</v>
      </c>
      <c r="B4" s="22">
        <v>0</v>
      </c>
      <c r="C4" s="22">
        <v>0</v>
      </c>
      <c r="D4" s="22">
        <v>2</v>
      </c>
      <c r="E4" s="22">
        <v>0</v>
      </c>
      <c r="F4" s="24" t="str">
        <f>PROPER(nutrition!$H4)</f>
        <v>Agar-Agar</v>
      </c>
      <c r="G4" s="22" t="str">
        <f>IF(nutrition!$B4&gt;300,"Tinggi Kalori",IF(nutrition!$B4&gt;100,"Kalori Sedang","Rendah Kalori"))</f>
        <v>Rendah Kalori</v>
      </c>
      <c r="H4" s="23" t="s">
        <v>8</v>
      </c>
    </row>
    <row r="5" spans="1:8" x14ac:dyDescent="0.3">
      <c r="A5" s="25">
        <v>4</v>
      </c>
      <c r="B5" s="26">
        <v>45</v>
      </c>
      <c r="C5" s="26">
        <v>11</v>
      </c>
      <c r="D5" s="26">
        <v>4</v>
      </c>
      <c r="E5" s="26">
        <v>108</v>
      </c>
      <c r="F5" s="28" t="str">
        <f>PROPER(nutrition!$H5)</f>
        <v>Akar Tonjong Segar</v>
      </c>
      <c r="G5" s="26" t="str">
        <f>IF(nutrition!$B5&gt;300,"Tinggi Kalori",IF(nutrition!$B5&gt;100,"Kalori Sedang","Rendah Kalori"))</f>
        <v>Rendah Kalori</v>
      </c>
      <c r="H5" s="27" t="s">
        <v>9</v>
      </c>
    </row>
    <row r="6" spans="1:8" x14ac:dyDescent="0.3">
      <c r="A6" s="21">
        <v>5</v>
      </c>
      <c r="B6" s="22">
        <v>37</v>
      </c>
      <c r="C6" s="22">
        <v>44</v>
      </c>
      <c r="D6" s="22">
        <v>5</v>
      </c>
      <c r="E6" s="22">
        <v>38</v>
      </c>
      <c r="F6" s="24" t="str">
        <f>PROPER(nutrition!$H6)</f>
        <v>Aletoge Segar</v>
      </c>
      <c r="G6" s="22" t="str">
        <f>IF(nutrition!$B6&gt;300,"Tinggi Kalori",IF(nutrition!$B6&gt;100,"Kalori Sedang","Rendah Kalori"))</f>
        <v>Rendah Kalori</v>
      </c>
      <c r="H6" s="23" t="s">
        <v>10</v>
      </c>
    </row>
    <row r="7" spans="1:8" x14ac:dyDescent="0.3">
      <c r="A7" s="25">
        <v>6</v>
      </c>
      <c r="B7" s="26">
        <v>85</v>
      </c>
      <c r="C7" s="26">
        <v>9</v>
      </c>
      <c r="D7" s="26">
        <v>65</v>
      </c>
      <c r="E7" s="26">
        <v>77</v>
      </c>
      <c r="F7" s="28" t="str">
        <f>PROPER(nutrition!$H7)</f>
        <v>Alpukat Segar</v>
      </c>
      <c r="G7" s="26" t="str">
        <f>IF(nutrition!$B7&gt;300,"Tinggi Kalori",IF(nutrition!$B7&gt;100,"Kalori Sedang","Rendah Kalori"))</f>
        <v>Rendah Kalori</v>
      </c>
      <c r="H7" s="27" t="s">
        <v>11</v>
      </c>
    </row>
    <row r="8" spans="1:8" x14ac:dyDescent="0.3">
      <c r="A8" s="21">
        <v>7</v>
      </c>
      <c r="B8" s="22">
        <v>96</v>
      </c>
      <c r="C8" s="22">
        <v>37</v>
      </c>
      <c r="D8" s="22">
        <v>6</v>
      </c>
      <c r="E8" s="22">
        <v>191</v>
      </c>
      <c r="F8" s="24" t="str">
        <f>PROPER(nutrition!$H8)</f>
        <v>Ampas Kacang Hijau</v>
      </c>
      <c r="G8" s="22" t="str">
        <f>IF(nutrition!$B8&gt;300,"Tinggi Kalori",IF(nutrition!$B8&gt;100,"Kalori Sedang","Rendah Kalori"))</f>
        <v>Rendah Kalori</v>
      </c>
      <c r="H8" s="23" t="s">
        <v>12</v>
      </c>
    </row>
    <row r="9" spans="1:8" x14ac:dyDescent="0.3">
      <c r="A9" s="25">
        <v>8</v>
      </c>
      <c r="B9" s="26">
        <v>414</v>
      </c>
      <c r="C9" s="26">
        <v>266</v>
      </c>
      <c r="D9" s="26">
        <v>183</v>
      </c>
      <c r="E9" s="26">
        <v>413</v>
      </c>
      <c r="F9" s="28" t="str">
        <f>PROPER(nutrition!$H9)</f>
        <v>Ampas Tahu</v>
      </c>
      <c r="G9" s="26" t="str">
        <f>IF(nutrition!$B9&gt;300,"Tinggi Kalori",IF(nutrition!$B9&gt;100,"Kalori Sedang","Rendah Kalori"))</f>
        <v>Tinggi Kalori</v>
      </c>
      <c r="H9" s="27" t="s">
        <v>13</v>
      </c>
    </row>
    <row r="10" spans="1:8" x14ac:dyDescent="0.3">
      <c r="A10" s="21">
        <v>9</v>
      </c>
      <c r="B10" s="22">
        <v>75</v>
      </c>
      <c r="C10" s="22">
        <v>41</v>
      </c>
      <c r="D10" s="22">
        <v>21</v>
      </c>
      <c r="E10" s="22">
        <v>107</v>
      </c>
      <c r="F10" s="24" t="str">
        <f>PROPER(nutrition!$H10)</f>
        <v>Ampas Tahu Kukus</v>
      </c>
      <c r="G10" s="22" t="str">
        <f>IF(nutrition!$B10&gt;300,"Tinggi Kalori",IF(nutrition!$B10&gt;100,"Kalori Sedang","Rendah Kalori"))</f>
        <v>Rendah Kalori</v>
      </c>
      <c r="H10" s="23" t="s">
        <v>14</v>
      </c>
    </row>
    <row r="11" spans="1:8" x14ac:dyDescent="0.3">
      <c r="A11" s="25">
        <v>10</v>
      </c>
      <c r="B11" s="26">
        <v>67</v>
      </c>
      <c r="C11" s="26">
        <v>5</v>
      </c>
      <c r="D11" s="26">
        <v>21</v>
      </c>
      <c r="E11" s="26">
        <v>81</v>
      </c>
      <c r="F11" s="28" t="str">
        <f>PROPER(nutrition!$H11)</f>
        <v>Ampas Tahu Mentah</v>
      </c>
      <c r="G11" s="26" t="str">
        <f>IF(nutrition!$B11&gt;300,"Tinggi Kalori",IF(nutrition!$B11&gt;100,"Kalori Sedang","Rendah Kalori"))</f>
        <v>Rendah Kalori</v>
      </c>
      <c r="H11" s="27" t="s">
        <v>15</v>
      </c>
    </row>
    <row r="12" spans="1:8" x14ac:dyDescent="0.3">
      <c r="A12" s="21">
        <v>11</v>
      </c>
      <c r="B12" s="22">
        <v>184</v>
      </c>
      <c r="C12" s="22">
        <v>188</v>
      </c>
      <c r="D12" s="22">
        <v>14</v>
      </c>
      <c r="E12" s="22">
        <v>0</v>
      </c>
      <c r="F12" s="24" t="str">
        <f>PROPER(nutrition!$H12)</f>
        <v>Anak Sapi Daging Gemuk Segar</v>
      </c>
      <c r="G12" s="22" t="str">
        <f>IF(nutrition!$B12&gt;300,"Tinggi Kalori",IF(nutrition!$B12&gt;100,"Kalori Sedang","Rendah Kalori"))</f>
        <v>Kalori Sedang</v>
      </c>
      <c r="H12" s="23" t="s">
        <v>16</v>
      </c>
    </row>
    <row r="13" spans="1:8" x14ac:dyDescent="0.3">
      <c r="A13" s="25">
        <v>12</v>
      </c>
      <c r="B13" s="26">
        <v>174</v>
      </c>
      <c r="C13" s="26">
        <v>196</v>
      </c>
      <c r="D13" s="26">
        <v>10</v>
      </c>
      <c r="E13" s="26">
        <v>0</v>
      </c>
      <c r="F13" s="28" t="str">
        <f>PROPER(nutrition!$H13)</f>
        <v>Anak Sapi Daging Kurus Segar</v>
      </c>
      <c r="G13" s="26" t="str">
        <f>IF(nutrition!$B13&gt;300,"Tinggi Kalori",IF(nutrition!$B13&gt;100,"Kalori Sedang","Rendah Kalori"))</f>
        <v>Kalori Sedang</v>
      </c>
      <c r="H13" s="27" t="s">
        <v>17</v>
      </c>
    </row>
    <row r="14" spans="1:8" x14ac:dyDescent="0.3">
      <c r="A14" s="21">
        <v>13</v>
      </c>
      <c r="B14" s="22">
        <v>190</v>
      </c>
      <c r="C14" s="22">
        <v>191</v>
      </c>
      <c r="D14" s="22">
        <v>12</v>
      </c>
      <c r="E14" s="22">
        <v>0</v>
      </c>
      <c r="F14" s="24" t="str">
        <f>PROPER(nutrition!$H14)</f>
        <v>Anak Sapi Daging Sedang Segar</v>
      </c>
      <c r="G14" s="22" t="str">
        <f>IF(nutrition!$B14&gt;300,"Tinggi Kalori",IF(nutrition!$B14&gt;100,"Kalori Sedang","Rendah Kalori"))</f>
        <v>Kalori Sedang</v>
      </c>
      <c r="H14" s="23" t="s">
        <v>18</v>
      </c>
    </row>
    <row r="15" spans="1:8" x14ac:dyDescent="0.3">
      <c r="A15" s="25">
        <v>14</v>
      </c>
      <c r="B15" s="26">
        <v>99</v>
      </c>
      <c r="C15" s="26">
        <v>46</v>
      </c>
      <c r="D15" s="26">
        <v>1</v>
      </c>
      <c r="E15" s="26">
        <v>18</v>
      </c>
      <c r="F15" s="28" t="str">
        <f>PROPER(nutrition!$H15)</f>
        <v>Andaliman Segar</v>
      </c>
      <c r="G15" s="26" t="str">
        <f>IF(nutrition!$B15&gt;300,"Tinggi Kalori",IF(nutrition!$B15&gt;100,"Kalori Sedang","Rendah Kalori"))</f>
        <v>Rendah Kalori</v>
      </c>
      <c r="H15" s="27" t="s">
        <v>19</v>
      </c>
    </row>
    <row r="16" spans="1:8" x14ac:dyDescent="0.3">
      <c r="A16" s="21">
        <v>15</v>
      </c>
      <c r="B16" s="22">
        <v>25</v>
      </c>
      <c r="C16" s="22">
        <v>16</v>
      </c>
      <c r="D16" s="22">
        <v>2</v>
      </c>
      <c r="E16" s="22">
        <v>53</v>
      </c>
      <c r="F16" s="24" t="str">
        <f>PROPER(nutrition!$H16)</f>
        <v>Andewi</v>
      </c>
      <c r="G16" s="22" t="str">
        <f>IF(nutrition!$B16&gt;300,"Tinggi Kalori",IF(nutrition!$B16&gt;100,"Kalori Sedang","Rendah Kalori"))</f>
        <v>Rendah Kalori</v>
      </c>
      <c r="H16" s="23" t="s">
        <v>20</v>
      </c>
    </row>
    <row r="17" spans="1:8" x14ac:dyDescent="0.3">
      <c r="A17" s="25">
        <v>16</v>
      </c>
      <c r="B17" s="26">
        <v>30</v>
      </c>
      <c r="C17" s="26">
        <v>5</v>
      </c>
      <c r="D17" s="26">
        <v>2</v>
      </c>
      <c r="E17" s="26">
        <v>68</v>
      </c>
      <c r="F17" s="28" t="str">
        <f>PROPER(nutrition!$H17)</f>
        <v>Anggur Hutan Segar</v>
      </c>
      <c r="G17" s="26" t="str">
        <f>IF(nutrition!$B17&gt;300,"Tinggi Kalori",IF(nutrition!$B17&gt;100,"Kalori Sedang","Rendah Kalori"))</f>
        <v>Rendah Kalori</v>
      </c>
      <c r="H17" s="27" t="s">
        <v>21</v>
      </c>
    </row>
    <row r="18" spans="1:8" x14ac:dyDescent="0.3">
      <c r="A18" s="21">
        <v>17</v>
      </c>
      <c r="B18" s="22">
        <v>354</v>
      </c>
      <c r="C18" s="22">
        <v>164</v>
      </c>
      <c r="D18" s="22">
        <v>315</v>
      </c>
      <c r="E18" s="22">
        <v>0</v>
      </c>
      <c r="F18" s="24" t="str">
        <f>PROPER(nutrition!$H18)</f>
        <v>Angsa</v>
      </c>
      <c r="G18" s="22" t="str">
        <f>IF(nutrition!$B18&gt;300,"Tinggi Kalori",IF(nutrition!$B18&gt;100,"Kalori Sedang","Rendah Kalori"))</f>
        <v>Tinggi Kalori</v>
      </c>
      <c r="H18" s="23" t="s">
        <v>22</v>
      </c>
    </row>
    <row r="19" spans="1:8" x14ac:dyDescent="0.3">
      <c r="A19" s="25">
        <v>18</v>
      </c>
      <c r="B19" s="26">
        <v>126</v>
      </c>
      <c r="C19" s="26">
        <v>34</v>
      </c>
      <c r="D19" s="26">
        <v>79</v>
      </c>
      <c r="E19" s="26">
        <v>103</v>
      </c>
      <c r="F19" s="28" t="str">
        <f>PROPER(nutrition!$H19)</f>
        <v>Anyang Sayur</v>
      </c>
      <c r="G19" s="26" t="str">
        <f>IF(nutrition!$B19&gt;300,"Tinggi Kalori",IF(nutrition!$B19&gt;100,"Kalori Sedang","Rendah Kalori"))</f>
        <v>Kalori Sedang</v>
      </c>
      <c r="H19" s="27" t="s">
        <v>23</v>
      </c>
    </row>
    <row r="20" spans="1:8" x14ac:dyDescent="0.3">
      <c r="A20" s="21">
        <v>19</v>
      </c>
      <c r="B20" s="22">
        <v>58</v>
      </c>
      <c r="C20" s="22">
        <v>3</v>
      </c>
      <c r="D20" s="22">
        <v>4</v>
      </c>
      <c r="E20" s="22">
        <v>149</v>
      </c>
      <c r="F20" s="24" t="str">
        <f>PROPER(nutrition!$H20)</f>
        <v>Apel</v>
      </c>
      <c r="G20" s="22" t="str">
        <f>IF(nutrition!$B20&gt;300,"Tinggi Kalori",IF(nutrition!$B20&gt;100,"Kalori Sedang","Rendah Kalori"))</f>
        <v>Rendah Kalori</v>
      </c>
      <c r="H20" s="23" t="s">
        <v>24</v>
      </c>
    </row>
    <row r="21" spans="1:8" x14ac:dyDescent="0.3">
      <c r="A21" s="25">
        <v>20</v>
      </c>
      <c r="B21" s="26">
        <v>57</v>
      </c>
      <c r="C21" s="26">
        <v>5</v>
      </c>
      <c r="D21" s="26">
        <v>4</v>
      </c>
      <c r="E21" s="26">
        <v>128</v>
      </c>
      <c r="F21" s="28" t="str">
        <f>PROPER(nutrition!$H21)</f>
        <v>Apel Malang Segar</v>
      </c>
      <c r="G21" s="26" t="str">
        <f>IF(nutrition!$B21&gt;300,"Tinggi Kalori",IF(nutrition!$B21&gt;100,"Kalori Sedang","Rendah Kalori"))</f>
        <v>Rendah Kalori</v>
      </c>
      <c r="H21" s="27" t="s">
        <v>25</v>
      </c>
    </row>
    <row r="22" spans="1:8" x14ac:dyDescent="0.3">
      <c r="A22" s="21">
        <v>21</v>
      </c>
      <c r="B22" s="22">
        <v>37</v>
      </c>
      <c r="C22" s="22">
        <v>8</v>
      </c>
      <c r="D22" s="22">
        <v>5</v>
      </c>
      <c r="E22" s="22">
        <v>83</v>
      </c>
      <c r="F22" s="24" t="str">
        <f>PROPER(nutrition!$H22)</f>
        <v>Arbei</v>
      </c>
      <c r="G22" s="22" t="str">
        <f>IF(nutrition!$B22&gt;300,"Tinggi Kalori",IF(nutrition!$B22&gt;100,"Kalori Sedang","Rendah Kalori"))</f>
        <v>Rendah Kalori</v>
      </c>
      <c r="H22" s="23" t="s">
        <v>26</v>
      </c>
    </row>
    <row r="23" spans="1:8" x14ac:dyDescent="0.3">
      <c r="A23" s="25">
        <v>22</v>
      </c>
      <c r="B23" s="26">
        <v>113</v>
      </c>
      <c r="C23" s="26">
        <v>9</v>
      </c>
      <c r="D23" s="26">
        <v>72</v>
      </c>
      <c r="E23" s="26">
        <v>112</v>
      </c>
      <c r="F23" s="28" t="str">
        <f>PROPER(nutrition!$H23)</f>
        <v>Ares Sayur</v>
      </c>
      <c r="G23" s="26" t="str">
        <f>IF(nutrition!$B23&gt;300,"Tinggi Kalori",IF(nutrition!$B23&gt;100,"Kalori Sedang","Rendah Kalori"))</f>
        <v>Kalori Sedang</v>
      </c>
      <c r="H23" s="27" t="s">
        <v>27</v>
      </c>
    </row>
    <row r="24" spans="1:8" x14ac:dyDescent="0.3">
      <c r="A24" s="21">
        <v>23</v>
      </c>
      <c r="B24" s="22">
        <v>102</v>
      </c>
      <c r="C24" s="22">
        <v>1</v>
      </c>
      <c r="D24" s="22">
        <v>2</v>
      </c>
      <c r="E24" s="22">
        <v>241</v>
      </c>
      <c r="F24" s="24" t="str">
        <f>PROPER(nutrition!$H24)</f>
        <v>Arrowroot Segar</v>
      </c>
      <c r="G24" s="22" t="str">
        <f>IF(nutrition!$B24&gt;300,"Tinggi Kalori",IF(nutrition!$B24&gt;100,"Kalori Sedang","Rendah Kalori"))</f>
        <v>Kalori Sedang</v>
      </c>
      <c r="H24" s="23" t="s">
        <v>28</v>
      </c>
    </row>
    <row r="25" spans="1:8" x14ac:dyDescent="0.3">
      <c r="A25" s="25">
        <v>24</v>
      </c>
      <c r="B25" s="26">
        <v>277</v>
      </c>
      <c r="C25" s="26">
        <v>24</v>
      </c>
      <c r="D25" s="26">
        <v>25</v>
      </c>
      <c r="E25" s="26">
        <v>107</v>
      </c>
      <c r="F25" s="28" t="str">
        <f>PROPER(nutrition!$H25)</f>
        <v>Arwan Sirsir</v>
      </c>
      <c r="G25" s="26" t="str">
        <f>IF(nutrition!$B25&gt;300,"Tinggi Kalori",IF(nutrition!$B25&gt;100,"Kalori Sedang","Rendah Kalori"))</f>
        <v>Kalori Sedang</v>
      </c>
      <c r="H25" s="27" t="s">
        <v>29</v>
      </c>
    </row>
    <row r="26" spans="1:8" x14ac:dyDescent="0.3">
      <c r="A26" s="21">
        <v>25</v>
      </c>
      <c r="B26" s="22">
        <v>75</v>
      </c>
      <c r="C26" s="22">
        <v>2</v>
      </c>
      <c r="D26" s="22">
        <v>11</v>
      </c>
      <c r="E26" s="22">
        <v>161</v>
      </c>
      <c r="F26" s="24" t="str">
        <f>PROPER(nutrition!$H26)</f>
        <v>Asam Kandis Segar</v>
      </c>
      <c r="G26" s="22" t="str">
        <f>IF(nutrition!$B26&gt;300,"Tinggi Kalori",IF(nutrition!$B26&gt;100,"Kalori Sedang","Rendah Kalori"))</f>
        <v>Rendah Kalori</v>
      </c>
      <c r="H26" s="23" t="s">
        <v>30</v>
      </c>
    </row>
    <row r="27" spans="1:8" x14ac:dyDescent="0.3">
      <c r="A27" s="25">
        <v>26</v>
      </c>
      <c r="B27" s="26">
        <v>239</v>
      </c>
      <c r="C27" s="26">
        <v>28</v>
      </c>
      <c r="D27" s="26">
        <v>6</v>
      </c>
      <c r="E27" s="26">
        <v>625</v>
      </c>
      <c r="F27" s="28" t="str">
        <f>PROPER(nutrition!$H27)</f>
        <v>Asam Masak Di Pohon</v>
      </c>
      <c r="G27" s="26" t="str">
        <f>IF(nutrition!$B27&gt;300,"Tinggi Kalori",IF(nutrition!$B27&gt;100,"Kalori Sedang","Rendah Kalori"))</f>
        <v>Kalori Sedang</v>
      </c>
      <c r="H27" s="27" t="s">
        <v>31</v>
      </c>
    </row>
    <row r="28" spans="1:8" x14ac:dyDescent="0.3">
      <c r="A28" s="21">
        <v>27</v>
      </c>
      <c r="B28" s="22">
        <v>135</v>
      </c>
      <c r="C28" s="22">
        <v>8</v>
      </c>
      <c r="D28" s="22">
        <v>4</v>
      </c>
      <c r="E28" s="22">
        <v>321</v>
      </c>
      <c r="F28" s="24" t="str">
        <f>PROPER(nutrition!$H28)</f>
        <v>Asam Payak Segar</v>
      </c>
      <c r="G28" s="22" t="str">
        <f>IF(nutrition!$B28&gt;300,"Tinggi Kalori",IF(nutrition!$B28&gt;100,"Kalori Sedang","Rendah Kalori"))</f>
        <v>Kalori Sedang</v>
      </c>
      <c r="H28" s="23" t="s">
        <v>32</v>
      </c>
    </row>
    <row r="29" spans="1:8" x14ac:dyDescent="0.3">
      <c r="A29" s="25">
        <v>28</v>
      </c>
      <c r="B29" s="26">
        <v>261</v>
      </c>
      <c r="C29" s="26">
        <v>9</v>
      </c>
      <c r="D29" s="26">
        <v>16</v>
      </c>
      <c r="E29" s="26">
        <v>633</v>
      </c>
      <c r="F29" s="28" t="str">
        <f>PROPER(nutrition!$H29)</f>
        <v>Asan Kandis Kering</v>
      </c>
      <c r="G29" s="26" t="str">
        <f>IF(nutrition!$B29&gt;300,"Tinggi Kalori",IF(nutrition!$B29&gt;100,"Kalori Sedang","Rendah Kalori"))</f>
        <v>Kalori Sedang</v>
      </c>
      <c r="H29" s="27" t="s">
        <v>33</v>
      </c>
    </row>
    <row r="30" spans="1:8" x14ac:dyDescent="0.3">
      <c r="A30" s="21">
        <v>29</v>
      </c>
      <c r="B30" s="22">
        <v>98</v>
      </c>
      <c r="C30" s="22">
        <v>39</v>
      </c>
      <c r="D30" s="22">
        <v>26</v>
      </c>
      <c r="E30" s="22">
        <v>148</v>
      </c>
      <c r="F30" s="24" t="str">
        <f>PROPER(nutrition!$H30)</f>
        <v>Asinan Bogor Sayuran</v>
      </c>
      <c r="G30" s="22" t="str">
        <f>IF(nutrition!$B30&gt;300,"Tinggi Kalori",IF(nutrition!$B30&gt;100,"Kalori Sedang","Rendah Kalori"))</f>
        <v>Rendah Kalori</v>
      </c>
      <c r="H30" s="23" t="s">
        <v>34</v>
      </c>
    </row>
    <row r="31" spans="1:8" x14ac:dyDescent="0.3">
      <c r="A31" s="25">
        <v>30</v>
      </c>
      <c r="B31" s="26">
        <v>302</v>
      </c>
      <c r="C31" s="26">
        <v>182</v>
      </c>
      <c r="D31" s="26">
        <v>25</v>
      </c>
      <c r="E31" s="26">
        <v>0</v>
      </c>
      <c r="F31" s="28" t="str">
        <f>PROPER(nutrition!$H31)</f>
        <v>Ayam</v>
      </c>
      <c r="G31" s="26" t="str">
        <f>IF(nutrition!$B31&gt;300,"Tinggi Kalori",IF(nutrition!$B31&gt;100,"Kalori Sedang","Rendah Kalori"))</f>
        <v>Tinggi Kalori</v>
      </c>
      <c r="H31" s="27" t="s">
        <v>35</v>
      </c>
    </row>
    <row r="32" spans="1:8" x14ac:dyDescent="0.3">
      <c r="A32" s="21">
        <v>31</v>
      </c>
      <c r="B32" s="22">
        <v>297</v>
      </c>
      <c r="C32" s="22">
        <v>359</v>
      </c>
      <c r="D32" s="22">
        <v>152</v>
      </c>
      <c r="E32" s="22">
        <v>16</v>
      </c>
      <c r="F32" s="24" t="str">
        <f>PROPER(nutrition!$H32)</f>
        <v>Ayam  Goreng Kentuckysayap</v>
      </c>
      <c r="G32" s="22" t="str">
        <f>IF(nutrition!$B32&gt;300,"Tinggi Kalori",IF(nutrition!$B32&gt;100,"Kalori Sedang","Rendah Kalori"))</f>
        <v>Kalori Sedang</v>
      </c>
      <c r="H32" s="23" t="s">
        <v>36</v>
      </c>
    </row>
    <row r="33" spans="1:8" x14ac:dyDescent="0.3">
      <c r="A33" s="25">
        <v>32</v>
      </c>
      <c r="B33" s="26">
        <v>270</v>
      </c>
      <c r="C33" s="26">
        <v>323</v>
      </c>
      <c r="D33" s="26">
        <v>112</v>
      </c>
      <c r="E33" s="26">
        <v>99</v>
      </c>
      <c r="F33" s="28" t="str">
        <f>PROPER(nutrition!$H33)</f>
        <v>Ayam Ampela Goreng</v>
      </c>
      <c r="G33" s="26" t="str">
        <f>IF(nutrition!$B33&gt;300,"Tinggi Kalori",IF(nutrition!$B33&gt;100,"Kalori Sedang","Rendah Kalori"))</f>
        <v>Kalori Sedang</v>
      </c>
      <c r="H33" s="27" t="s">
        <v>37</v>
      </c>
    </row>
    <row r="34" spans="1:8" x14ac:dyDescent="0.3">
      <c r="A34" s="21">
        <v>33</v>
      </c>
      <c r="B34" s="22">
        <v>75</v>
      </c>
      <c r="C34" s="22">
        <v>138</v>
      </c>
      <c r="D34" s="22">
        <v>19</v>
      </c>
      <c r="E34" s="22">
        <v>7</v>
      </c>
      <c r="F34" s="24" t="str">
        <f>PROPER(nutrition!$H34)</f>
        <v>Ayam Dideh/Darah Segar</v>
      </c>
      <c r="G34" s="22" t="str">
        <f>IF(nutrition!$B34&gt;300,"Tinggi Kalori",IF(nutrition!$B34&gt;100,"Kalori Sedang","Rendah Kalori"))</f>
        <v>Rendah Kalori</v>
      </c>
      <c r="H34" s="23" t="s">
        <v>38</v>
      </c>
    </row>
    <row r="35" spans="1:8" x14ac:dyDescent="0.3">
      <c r="A35" s="25">
        <v>34</v>
      </c>
      <c r="B35" s="26">
        <v>295</v>
      </c>
      <c r="C35" s="26">
        <v>34</v>
      </c>
      <c r="D35" s="26">
        <v>16</v>
      </c>
      <c r="E35" s="26">
        <v>15</v>
      </c>
      <c r="F35" s="28" t="str">
        <f>PROPER(nutrition!$H35)</f>
        <v>Ayam Goreng Church Texa Sayap</v>
      </c>
      <c r="G35" s="26" t="str">
        <f>IF(nutrition!$B35&gt;300,"Tinggi Kalori",IF(nutrition!$B35&gt;100,"Kalori Sedang","Rendah Kalori"))</f>
        <v>Kalori Sedang</v>
      </c>
      <c r="H35" s="27" t="s">
        <v>39</v>
      </c>
    </row>
    <row r="36" spans="1:8" x14ac:dyDescent="0.3">
      <c r="A36" s="21">
        <v>35</v>
      </c>
      <c r="B36" s="22">
        <v>338</v>
      </c>
      <c r="C36" s="22">
        <v>352</v>
      </c>
      <c r="D36" s="22">
        <v>206</v>
      </c>
      <c r="E36" s="22">
        <v>4</v>
      </c>
      <c r="F36" s="24" t="str">
        <f>PROPER(nutrition!$H36)</f>
        <v>Ayam Goreng Church Texas Dada</v>
      </c>
      <c r="G36" s="22" t="str">
        <f>IF(nutrition!$B36&gt;300,"Tinggi Kalori",IF(nutrition!$B36&gt;100,"Kalori Sedang","Rendah Kalori"))</f>
        <v>Tinggi Kalori</v>
      </c>
      <c r="H36" s="23" t="s">
        <v>40</v>
      </c>
    </row>
    <row r="37" spans="1:8" x14ac:dyDescent="0.3">
      <c r="A37" s="25">
        <v>36</v>
      </c>
      <c r="B37" s="26">
        <v>275</v>
      </c>
      <c r="C37" s="26">
        <v>374</v>
      </c>
      <c r="D37" s="26">
        <v>122</v>
      </c>
      <c r="E37" s="26">
        <v>13</v>
      </c>
      <c r="F37" s="28" t="str">
        <f>PROPER(nutrition!$H37)</f>
        <v>Ayam Goreng Kalasan Paha</v>
      </c>
      <c r="G37" s="26" t="str">
        <f>IF(nutrition!$B37&gt;300,"Tinggi Kalori",IF(nutrition!$B37&gt;100,"Kalori Sedang","Rendah Kalori"))</f>
        <v>Kalori Sedang</v>
      </c>
      <c r="H37" s="27" t="s">
        <v>41</v>
      </c>
    </row>
    <row r="38" spans="1:8" x14ac:dyDescent="0.3">
      <c r="A38" s="21">
        <v>37</v>
      </c>
      <c r="B38" s="22">
        <v>298</v>
      </c>
      <c r="C38" s="22">
        <v>342</v>
      </c>
      <c r="D38" s="22">
        <v>168</v>
      </c>
      <c r="E38" s="22">
        <v>1</v>
      </c>
      <c r="F38" s="24" t="str">
        <f>PROPER(nutrition!$H38)</f>
        <v>Ayam Goreng Kentucky Dada</v>
      </c>
      <c r="G38" s="22" t="str">
        <f>IF(nutrition!$B38&gt;300,"Tinggi Kalori",IF(nutrition!$B38&gt;100,"Kalori Sedang","Rendah Kalori"))</f>
        <v>Kalori Sedang</v>
      </c>
      <c r="H38" s="23" t="s">
        <v>42</v>
      </c>
    </row>
    <row r="39" spans="1:8" x14ac:dyDescent="0.3">
      <c r="A39" s="25">
        <v>38</v>
      </c>
      <c r="B39" s="26">
        <v>286</v>
      </c>
      <c r="C39" s="26">
        <v>321</v>
      </c>
      <c r="D39" s="26">
        <v>161</v>
      </c>
      <c r="E39" s="26">
        <v>11</v>
      </c>
      <c r="F39" s="28" t="str">
        <f>PROPER(nutrition!$H39)</f>
        <v>Ayam Goreng Kentucky Paha</v>
      </c>
      <c r="G39" s="26" t="str">
        <f>IF(nutrition!$B39&gt;300,"Tinggi Kalori",IF(nutrition!$B39&gt;100,"Kalori Sedang","Rendah Kalori"))</f>
        <v>Kalori Sedang</v>
      </c>
      <c r="H39" s="27" t="s">
        <v>43</v>
      </c>
    </row>
    <row r="40" spans="1:8" x14ac:dyDescent="0.3">
      <c r="A40" s="21">
        <v>39</v>
      </c>
      <c r="B40" s="22">
        <v>295</v>
      </c>
      <c r="C40" s="22">
        <v>392</v>
      </c>
      <c r="D40" s="22">
        <v>136</v>
      </c>
      <c r="E40" s="22">
        <v>1</v>
      </c>
      <c r="F40" s="24" t="str">
        <f>PROPER(nutrition!$H40)</f>
        <v>Ayam Goreng Mbok Berek Dada</v>
      </c>
      <c r="G40" s="22" t="str">
        <f>IF(nutrition!$B40&gt;300,"Tinggi Kalori",IF(nutrition!$B40&gt;100,"Kalori Sedang","Rendah Kalori"))</f>
        <v>Kalori Sedang</v>
      </c>
      <c r="H40" s="23" t="s">
        <v>44</v>
      </c>
    </row>
    <row r="41" spans="1:8" x14ac:dyDescent="0.3">
      <c r="A41" s="25">
        <v>40</v>
      </c>
      <c r="B41" s="26">
        <v>287</v>
      </c>
      <c r="C41" s="26">
        <v>31</v>
      </c>
      <c r="D41" s="26">
        <v>157</v>
      </c>
      <c r="E41" s="26">
        <v>17</v>
      </c>
      <c r="F41" s="28" t="str">
        <f>PROPER(nutrition!$H41)</f>
        <v>Ayam Goreng Paha</v>
      </c>
      <c r="G41" s="26" t="str">
        <f>IF(nutrition!$B41&gt;300,"Tinggi Kalori",IF(nutrition!$B41&gt;100,"Kalori Sedang","Rendah Kalori"))</f>
        <v>Kalori Sedang</v>
      </c>
      <c r="H41" s="27" t="s">
        <v>45</v>
      </c>
    </row>
    <row r="42" spans="1:8" x14ac:dyDescent="0.3">
      <c r="A42" s="21">
        <v>41</v>
      </c>
      <c r="B42" s="22">
        <v>246</v>
      </c>
      <c r="C42" s="22">
        <v>379</v>
      </c>
      <c r="D42" s="22">
        <v>9</v>
      </c>
      <c r="E42" s="22">
        <v>7</v>
      </c>
      <c r="F42" s="24" t="str">
        <f>PROPER(nutrition!$H42)</f>
        <v>Ayam Goreng Pasundan Dada</v>
      </c>
      <c r="G42" s="22" t="str">
        <f>IF(nutrition!$B42&gt;300,"Tinggi Kalori",IF(nutrition!$B42&gt;100,"Kalori Sedang","Rendah Kalori"))</f>
        <v>Kalori Sedang</v>
      </c>
      <c r="H42" s="23" t="s">
        <v>46</v>
      </c>
    </row>
    <row r="43" spans="1:8" x14ac:dyDescent="0.3">
      <c r="A43" s="25">
        <v>42</v>
      </c>
      <c r="B43" s="26">
        <v>245</v>
      </c>
      <c r="C43" s="26">
        <v>331</v>
      </c>
      <c r="D43" s="26">
        <v>114</v>
      </c>
      <c r="E43" s="26">
        <v>3</v>
      </c>
      <c r="F43" s="28" t="str">
        <f>PROPER(nutrition!$H43)</f>
        <v>Ayam Goreng Pasundan Paha</v>
      </c>
      <c r="G43" s="26" t="str">
        <f>IF(nutrition!$B43&gt;300,"Tinggi Kalori",IF(nutrition!$B43&gt;100,"Kalori Sedang","Rendah Kalori"))</f>
        <v>Kalori Sedang</v>
      </c>
      <c r="H43" s="27" t="s">
        <v>47</v>
      </c>
    </row>
    <row r="44" spans="1:8" x14ac:dyDescent="0.3">
      <c r="A44" s="21">
        <v>43</v>
      </c>
      <c r="B44" s="22">
        <v>295</v>
      </c>
      <c r="C44" s="22">
        <v>374</v>
      </c>
      <c r="D44" s="22">
        <v>147</v>
      </c>
      <c r="E44" s="22">
        <v>6</v>
      </c>
      <c r="F44" s="24" t="str">
        <f>PROPER(nutrition!$H44)</f>
        <v>Ayam Goreng Pioneer Dada</v>
      </c>
      <c r="G44" s="22" t="str">
        <f>IF(nutrition!$B44&gt;300,"Tinggi Kalori",IF(nutrition!$B44&gt;100,"Kalori Sedang","Rendah Kalori"))</f>
        <v>Kalori Sedang</v>
      </c>
      <c r="H44" s="23" t="s">
        <v>48</v>
      </c>
    </row>
    <row r="45" spans="1:8" x14ac:dyDescent="0.3">
      <c r="A45" s="25">
        <v>44</v>
      </c>
      <c r="B45" s="26">
        <v>244</v>
      </c>
      <c r="C45" s="26">
        <v>367</v>
      </c>
      <c r="D45" s="26">
        <v>92</v>
      </c>
      <c r="E45" s="26">
        <v>1</v>
      </c>
      <c r="F45" s="28" t="str">
        <f>PROPER(nutrition!$H45)</f>
        <v>Ayam Goreng Sukabumi Dada</v>
      </c>
      <c r="G45" s="26" t="str">
        <f>IF(nutrition!$B45&gt;300,"Tinggi Kalori",IF(nutrition!$B45&gt;100,"Kalori Sedang","Rendah Kalori"))</f>
        <v>Kalori Sedang</v>
      </c>
      <c r="H45" s="27" t="s">
        <v>49</v>
      </c>
    </row>
    <row r="46" spans="1:8" x14ac:dyDescent="0.3">
      <c r="A46" s="21">
        <v>45</v>
      </c>
      <c r="B46" s="22">
        <v>283</v>
      </c>
      <c r="C46" s="22">
        <v>357</v>
      </c>
      <c r="D46" s="22">
        <v>143</v>
      </c>
      <c r="E46" s="22">
        <v>5</v>
      </c>
      <c r="F46" s="24" t="str">
        <f>PROPER(nutrition!$H46)</f>
        <v>Ayam Goreng Sukabumi Paha</v>
      </c>
      <c r="G46" s="22" t="str">
        <f>IF(nutrition!$B46&gt;300,"Tinggi Kalori",IF(nutrition!$B46&gt;100,"Kalori Sedang","Rendah Kalori"))</f>
        <v>Kalori Sedang</v>
      </c>
      <c r="H46" s="23" t="s">
        <v>50</v>
      </c>
    </row>
    <row r="47" spans="1:8" x14ac:dyDescent="0.3">
      <c r="A47" s="25">
        <v>46</v>
      </c>
      <c r="B47" s="26">
        <v>261</v>
      </c>
      <c r="C47" s="26">
        <v>274</v>
      </c>
      <c r="D47" s="26">
        <v>161</v>
      </c>
      <c r="E47" s="26">
        <v>16</v>
      </c>
      <c r="F47" s="28" t="str">
        <f>PROPER(nutrition!$H47)</f>
        <v>Ayam Hati Segar</v>
      </c>
      <c r="G47" s="26" t="str">
        <f>IF(nutrition!$B47&gt;300,"Tinggi Kalori",IF(nutrition!$B47&gt;100,"Kalori Sedang","Rendah Kalori"))</f>
        <v>Kalori Sedang</v>
      </c>
      <c r="H47" s="27" t="s">
        <v>51</v>
      </c>
    </row>
    <row r="48" spans="1:8" x14ac:dyDescent="0.3">
      <c r="A48" s="21">
        <v>47</v>
      </c>
      <c r="B48" s="22">
        <v>264</v>
      </c>
      <c r="C48" s="22">
        <v>182</v>
      </c>
      <c r="D48" s="22">
        <v>201</v>
      </c>
      <c r="E48" s="22">
        <v>27</v>
      </c>
      <c r="F48" s="24" t="str">
        <f>PROPER(nutrition!$H48)</f>
        <v>Ayam Taliwang Masakan</v>
      </c>
      <c r="G48" s="22" t="str">
        <f>IF(nutrition!$B48&gt;300,"Tinggi Kalori",IF(nutrition!$B48&gt;100,"Kalori Sedang","Rendah Kalori"))</f>
        <v>Kalori Sedang</v>
      </c>
      <c r="H48" s="23" t="s">
        <v>52</v>
      </c>
    </row>
    <row r="49" spans="1:8" x14ac:dyDescent="0.3">
      <c r="A49" s="25">
        <v>48</v>
      </c>
      <c r="B49" s="26">
        <v>473</v>
      </c>
      <c r="C49" s="26">
        <v>452</v>
      </c>
      <c r="D49" s="26">
        <v>263</v>
      </c>
      <c r="E49" s="26">
        <v>139</v>
      </c>
      <c r="F49" s="28" t="str">
        <f>PROPER(nutrition!$H49)</f>
        <v>Ayam Usus Goreng</v>
      </c>
      <c r="G49" s="26" t="str">
        <f>IF(nutrition!$B49&gt;300,"Tinggi Kalori",IF(nutrition!$B49&gt;100,"Kalori Sedang","Rendah Kalori"))</f>
        <v>Tinggi Kalori</v>
      </c>
      <c r="H49" s="27" t="s">
        <v>53</v>
      </c>
    </row>
    <row r="50" spans="1:8" x14ac:dyDescent="0.3">
      <c r="A50" s="21">
        <v>49</v>
      </c>
      <c r="B50" s="22">
        <v>113</v>
      </c>
      <c r="C50" s="22">
        <v>176</v>
      </c>
      <c r="D50" s="22">
        <v>42</v>
      </c>
      <c r="E50" s="22">
        <v>0</v>
      </c>
      <c r="F50" s="24" t="str">
        <f>PROPER(nutrition!$H50)</f>
        <v>Babat</v>
      </c>
      <c r="G50" s="22" t="str">
        <f>IF(nutrition!$B50&gt;300,"Tinggi Kalori",IF(nutrition!$B50&gt;100,"Kalori Sedang","Rendah Kalori"))</f>
        <v>Kalori Sedang</v>
      </c>
      <c r="H50" s="23" t="s">
        <v>54</v>
      </c>
    </row>
    <row r="51" spans="1:8" x14ac:dyDescent="0.3">
      <c r="A51" s="25">
        <v>50</v>
      </c>
      <c r="B51" s="26">
        <v>453</v>
      </c>
      <c r="C51" s="26">
        <v>119</v>
      </c>
      <c r="D51" s="26">
        <v>45</v>
      </c>
      <c r="E51" s="26">
        <v>0</v>
      </c>
      <c r="F51" s="28" t="str">
        <f>PROPER(nutrition!$H51)</f>
        <v>Babi Daging Gemuk Segar</v>
      </c>
      <c r="G51" s="26" t="str">
        <f>IF(nutrition!$B51&gt;300,"Tinggi Kalori",IF(nutrition!$B51&gt;100,"Kalori Sedang","Rendah Kalori"))</f>
        <v>Tinggi Kalori</v>
      </c>
      <c r="H51" s="27" t="s">
        <v>55</v>
      </c>
    </row>
    <row r="52" spans="1:8" x14ac:dyDescent="0.3">
      <c r="A52" s="21">
        <v>51</v>
      </c>
      <c r="B52" s="22">
        <v>371</v>
      </c>
      <c r="C52" s="22">
        <v>141</v>
      </c>
      <c r="D52" s="22">
        <v>35</v>
      </c>
      <c r="E52" s="22">
        <v>0</v>
      </c>
      <c r="F52" s="24" t="str">
        <f>PROPER(nutrition!$H52)</f>
        <v>Babi Daging Kurus Segar</v>
      </c>
      <c r="G52" s="22" t="str">
        <f>IF(nutrition!$B52&gt;300,"Tinggi Kalori",IF(nutrition!$B52&gt;100,"Kalori Sedang","Rendah Kalori"))</f>
        <v>Tinggi Kalori</v>
      </c>
      <c r="H52" s="23" t="s">
        <v>56</v>
      </c>
    </row>
    <row r="53" spans="1:8" x14ac:dyDescent="0.3">
      <c r="A53" s="25">
        <v>52</v>
      </c>
      <c r="B53" s="26">
        <v>110</v>
      </c>
      <c r="C53" s="26">
        <v>163</v>
      </c>
      <c r="D53" s="26">
        <v>46</v>
      </c>
      <c r="E53" s="26">
        <v>8</v>
      </c>
      <c r="F53" s="28" t="str">
        <f>PROPER(nutrition!$H53)</f>
        <v>Babi Ginjal Segar</v>
      </c>
      <c r="G53" s="26" t="str">
        <f>IF(nutrition!$B53&gt;300,"Tinggi Kalori",IF(nutrition!$B53&gt;100,"Kalori Sedang","Rendah Kalori"))</f>
        <v>Kalori Sedang</v>
      </c>
      <c r="H53" s="27" t="s">
        <v>57</v>
      </c>
    </row>
    <row r="54" spans="1:8" x14ac:dyDescent="0.3">
      <c r="A54" s="21">
        <v>53</v>
      </c>
      <c r="B54" s="22">
        <v>129</v>
      </c>
      <c r="C54" s="22">
        <v>197</v>
      </c>
      <c r="D54" s="22">
        <v>48</v>
      </c>
      <c r="E54" s="22">
        <v>17</v>
      </c>
      <c r="F54" s="24" t="str">
        <f>PROPER(nutrition!$H54)</f>
        <v>Babi Hati Segar</v>
      </c>
      <c r="G54" s="22" t="str">
        <f>IF(nutrition!$B54&gt;300,"Tinggi Kalori",IF(nutrition!$B54&gt;100,"Kalori Sedang","Rendah Kalori"))</f>
        <v>Kalori Sedang</v>
      </c>
      <c r="H54" s="23" t="s">
        <v>58</v>
      </c>
    </row>
    <row r="55" spans="1:8" x14ac:dyDescent="0.3">
      <c r="A55" s="25">
        <v>54</v>
      </c>
      <c r="B55" s="26">
        <v>491</v>
      </c>
      <c r="C55" s="26">
        <v>246</v>
      </c>
      <c r="D55" s="26">
        <v>163</v>
      </c>
      <c r="E55" s="26">
        <v>2</v>
      </c>
      <c r="F55" s="28" t="str">
        <f>PROPER(nutrition!$H55)</f>
        <v>Babi Hutan Masak Rica Masakan</v>
      </c>
      <c r="G55" s="26" t="str">
        <f>IF(nutrition!$B55&gt;300,"Tinggi Kalori",IF(nutrition!$B55&gt;100,"Kalori Sedang","Rendah Kalori"))</f>
        <v>Tinggi Kalori</v>
      </c>
      <c r="H55" s="27" t="s">
        <v>59</v>
      </c>
    </row>
    <row r="56" spans="1:8" x14ac:dyDescent="0.3">
      <c r="A56" s="21">
        <v>55</v>
      </c>
      <c r="B56" s="22">
        <v>1029</v>
      </c>
      <c r="C56" s="22">
        <v>33</v>
      </c>
      <c r="D56" s="22">
        <v>27</v>
      </c>
      <c r="E56" s="22">
        <v>163</v>
      </c>
      <c r="F56" s="24" t="str">
        <f>PROPER(nutrition!$H56)</f>
        <v>Bacang</v>
      </c>
      <c r="G56" s="22" t="str">
        <f>IF(nutrition!$B56&gt;300,"Tinggi Kalori",IF(nutrition!$B56&gt;100,"Kalori Sedang","Rendah Kalori"))</f>
        <v>Tinggi Kalori</v>
      </c>
      <c r="H56" s="23" t="s">
        <v>60</v>
      </c>
    </row>
    <row r="57" spans="1:8" x14ac:dyDescent="0.3">
      <c r="A57" s="25">
        <v>56</v>
      </c>
      <c r="B57" s="26">
        <v>450</v>
      </c>
      <c r="C57" s="26">
        <v>32</v>
      </c>
      <c r="D57" s="26">
        <v>139</v>
      </c>
      <c r="E57" s="26">
        <v>781</v>
      </c>
      <c r="F57" s="28" t="str">
        <f>PROPER(nutrition!$H57)</f>
        <v>Bagea Kelapa Asin</v>
      </c>
      <c r="G57" s="26" t="str">
        <f>IF(nutrition!$B57&gt;300,"Tinggi Kalori",IF(nutrition!$B57&gt;100,"Kalori Sedang","Rendah Kalori"))</f>
        <v>Tinggi Kalori</v>
      </c>
      <c r="H57" s="27" t="s">
        <v>61</v>
      </c>
    </row>
    <row r="58" spans="1:8" x14ac:dyDescent="0.3">
      <c r="A58" s="21">
        <v>57</v>
      </c>
      <c r="B58" s="22">
        <v>452</v>
      </c>
      <c r="C58" s="22">
        <v>13</v>
      </c>
      <c r="D58" s="22">
        <v>138</v>
      </c>
      <c r="E58" s="22">
        <v>806</v>
      </c>
      <c r="F58" s="24" t="str">
        <f>PROPER(nutrition!$H58)</f>
        <v>Bagea Kelapa Manis</v>
      </c>
      <c r="G58" s="22" t="str">
        <f>IF(nutrition!$B58&gt;300,"Tinggi Kalori",IF(nutrition!$B58&gt;100,"Kalori Sedang","Rendah Kalori"))</f>
        <v>Tinggi Kalori</v>
      </c>
      <c r="H58" s="23" t="s">
        <v>62</v>
      </c>
    </row>
    <row r="59" spans="1:8" x14ac:dyDescent="0.3">
      <c r="A59" s="25">
        <v>58</v>
      </c>
      <c r="B59" s="26">
        <v>529</v>
      </c>
      <c r="C59" s="26">
        <v>32</v>
      </c>
      <c r="D59" s="26">
        <v>291</v>
      </c>
      <c r="E59" s="26">
        <v>636</v>
      </c>
      <c r="F59" s="28" t="str">
        <f>PROPER(nutrition!$H59)</f>
        <v>Bagea Kenari Asin</v>
      </c>
      <c r="G59" s="26" t="str">
        <f>IF(nutrition!$B59&gt;300,"Tinggi Kalori",IF(nutrition!$B59&gt;100,"Kalori Sedang","Rendah Kalori"))</f>
        <v>Tinggi Kalori</v>
      </c>
      <c r="H59" s="27" t="s">
        <v>63</v>
      </c>
    </row>
    <row r="60" spans="1:8" x14ac:dyDescent="0.3">
      <c r="A60" s="21">
        <v>59</v>
      </c>
      <c r="B60" s="22">
        <v>523</v>
      </c>
      <c r="C60" s="22">
        <v>32</v>
      </c>
      <c r="D60" s="22">
        <v>282</v>
      </c>
      <c r="E60" s="22">
        <v>642</v>
      </c>
      <c r="F60" s="24" t="str">
        <f>PROPER(nutrition!$H60)</f>
        <v>Bagea Kenari Manis</v>
      </c>
      <c r="G60" s="22" t="str">
        <f>IF(nutrition!$B60&gt;300,"Tinggi Kalori",IF(nutrition!$B60&gt;100,"Kalori Sedang","Rendah Kalori"))</f>
        <v>Tinggi Kalori</v>
      </c>
      <c r="H60" s="23" t="s">
        <v>64</v>
      </c>
    </row>
    <row r="61" spans="1:8" x14ac:dyDescent="0.3">
      <c r="A61" s="25">
        <v>60</v>
      </c>
      <c r="B61" s="26">
        <v>416</v>
      </c>
      <c r="C61" s="26">
        <v>65</v>
      </c>
      <c r="D61" s="26">
        <v>94</v>
      </c>
      <c r="E61" s="26">
        <v>763</v>
      </c>
      <c r="F61" s="28" t="str">
        <f>PROPER(nutrition!$H61)</f>
        <v>Bagea Kw 1</v>
      </c>
      <c r="G61" s="26" t="str">
        <f>IF(nutrition!$B61&gt;300,"Tinggi Kalori",IF(nutrition!$B61&gt;100,"Kalori Sedang","Rendah Kalori"))</f>
        <v>Tinggi Kalori</v>
      </c>
      <c r="H61" s="27" t="s">
        <v>65</v>
      </c>
    </row>
    <row r="62" spans="1:8" x14ac:dyDescent="0.3">
      <c r="A62" s="21">
        <v>61</v>
      </c>
      <c r="B62" s="22">
        <v>382</v>
      </c>
      <c r="C62" s="22">
        <v>3</v>
      </c>
      <c r="D62" s="22">
        <v>35</v>
      </c>
      <c r="E62" s="22">
        <v>872</v>
      </c>
      <c r="F62" s="24" t="str">
        <f>PROPER(nutrition!$H62)</f>
        <v>Bagea Kw 2</v>
      </c>
      <c r="G62" s="22" t="str">
        <f>IF(nutrition!$B62&gt;300,"Tinggi Kalori",IF(nutrition!$B62&gt;100,"Kalori Sedang","Rendah Kalori"))</f>
        <v>Tinggi Kalori</v>
      </c>
      <c r="H62" s="23" t="s">
        <v>66</v>
      </c>
    </row>
    <row r="63" spans="1:8" x14ac:dyDescent="0.3">
      <c r="A63" s="25">
        <v>62</v>
      </c>
      <c r="B63" s="26">
        <v>129</v>
      </c>
      <c r="C63" s="26">
        <v>19</v>
      </c>
      <c r="D63" s="26">
        <v>66</v>
      </c>
      <c r="E63" s="26">
        <v>156</v>
      </c>
      <c r="F63" s="28" t="str">
        <f>PROPER(nutrition!$H63)</f>
        <v>Baje</v>
      </c>
      <c r="G63" s="26" t="str">
        <f>IF(nutrition!$B63&gt;300,"Tinggi Kalori",IF(nutrition!$B63&gt;100,"Kalori Sedang","Rendah Kalori"))</f>
        <v>Kalori Sedang</v>
      </c>
      <c r="H63" s="27" t="s">
        <v>67</v>
      </c>
    </row>
    <row r="64" spans="1:8" x14ac:dyDescent="0.3">
      <c r="A64" s="21">
        <v>63</v>
      </c>
      <c r="B64" s="22">
        <v>272</v>
      </c>
      <c r="C64" s="22">
        <v>87</v>
      </c>
      <c r="D64" s="22">
        <v>67</v>
      </c>
      <c r="E64" s="22">
        <v>441</v>
      </c>
      <c r="F64" s="24" t="str">
        <f>PROPER(nutrition!$H64)</f>
        <v>Bakpia Kue</v>
      </c>
      <c r="G64" s="22" t="str">
        <f>IF(nutrition!$B64&gt;300,"Tinggi Kalori",IF(nutrition!$B64&gt;100,"Kalori Sedang","Rendah Kalori"))</f>
        <v>Kalori Sedang</v>
      </c>
      <c r="H64" s="23" t="s">
        <v>68</v>
      </c>
    </row>
    <row r="65" spans="1:8" x14ac:dyDescent="0.3">
      <c r="A65" s="25">
        <v>64</v>
      </c>
      <c r="B65" s="26">
        <v>76</v>
      </c>
      <c r="C65" s="26">
        <v>41</v>
      </c>
      <c r="D65" s="26">
        <v>25</v>
      </c>
      <c r="E65" s="26">
        <v>92</v>
      </c>
      <c r="F65" s="28" t="str">
        <f>PROPER(nutrition!$H65)</f>
        <v xml:space="preserve">Bakso </v>
      </c>
      <c r="G65" s="26" t="str">
        <f>IF(nutrition!$B65&gt;300,"Tinggi Kalori",IF(nutrition!$B65&gt;100,"Kalori Sedang","Rendah Kalori"))</f>
        <v>Rendah Kalori</v>
      </c>
      <c r="H65" s="27" t="s">
        <v>69</v>
      </c>
    </row>
    <row r="66" spans="1:8" x14ac:dyDescent="0.3">
      <c r="A66" s="21">
        <v>65</v>
      </c>
      <c r="B66" s="22">
        <v>27</v>
      </c>
      <c r="C66" s="22">
        <v>2</v>
      </c>
      <c r="D66" s="22">
        <v>2</v>
      </c>
      <c r="E66" s="22">
        <v>42</v>
      </c>
      <c r="F66" s="24" t="str">
        <f>PROPER(nutrition!$H66)</f>
        <v>Bakung Segar</v>
      </c>
      <c r="G66" s="22" t="str">
        <f>IF(nutrition!$B66&gt;300,"Tinggi Kalori",IF(nutrition!$B66&gt;100,"Kalori Sedang","Rendah Kalori"))</f>
        <v>Rendah Kalori</v>
      </c>
      <c r="H66" s="23" t="s">
        <v>70</v>
      </c>
    </row>
    <row r="67" spans="1:8" x14ac:dyDescent="0.3">
      <c r="A67" s="25">
        <v>66</v>
      </c>
      <c r="B67" s="26">
        <v>280</v>
      </c>
      <c r="C67" s="26">
        <v>82</v>
      </c>
      <c r="D67" s="26">
        <v>102</v>
      </c>
      <c r="E67" s="26">
        <v>39</v>
      </c>
      <c r="F67" s="28" t="str">
        <f>PROPER(nutrition!$H67)</f>
        <v>Bakwan</v>
      </c>
      <c r="G67" s="26" t="str">
        <f>IF(nutrition!$B67&gt;300,"Tinggi Kalori",IF(nutrition!$B67&gt;100,"Kalori Sedang","Rendah Kalori"))</f>
        <v>Kalori Sedang</v>
      </c>
      <c r="H67" s="27" t="s">
        <v>71</v>
      </c>
    </row>
    <row r="68" spans="1:8" x14ac:dyDescent="0.3">
      <c r="A68" s="21">
        <v>67</v>
      </c>
      <c r="B68" s="22">
        <v>13</v>
      </c>
      <c r="C68" s="22">
        <v>4</v>
      </c>
      <c r="D68" s="22">
        <v>2</v>
      </c>
      <c r="E68" s="22">
        <v>3</v>
      </c>
      <c r="F68" s="24" t="str">
        <f>PROPER(nutrition!$H68)</f>
        <v>Baligo</v>
      </c>
      <c r="G68" s="22" t="str">
        <f>IF(nutrition!$B68&gt;300,"Tinggi Kalori",IF(nutrition!$B68&gt;100,"Kalori Sedang","Rendah Kalori"))</f>
        <v>Rendah Kalori</v>
      </c>
      <c r="H68" s="23" t="s">
        <v>72</v>
      </c>
    </row>
    <row r="69" spans="1:8" x14ac:dyDescent="0.3">
      <c r="A69" s="25">
        <v>68</v>
      </c>
      <c r="B69" s="26">
        <v>190</v>
      </c>
      <c r="C69" s="26">
        <v>33</v>
      </c>
      <c r="D69" s="26">
        <v>3</v>
      </c>
      <c r="E69" s="26">
        <v>435</v>
      </c>
      <c r="F69" s="28" t="str">
        <f>PROPER(nutrition!$H69)</f>
        <v>Bantal</v>
      </c>
      <c r="G69" s="26" t="str">
        <f>IF(nutrition!$B69&gt;300,"Tinggi Kalori",IF(nutrition!$B69&gt;100,"Kalori Sedang","Rendah Kalori"))</f>
        <v>Kalori Sedang</v>
      </c>
      <c r="H69" s="27" t="s">
        <v>73</v>
      </c>
    </row>
    <row r="70" spans="1:8" x14ac:dyDescent="0.3">
      <c r="A70" s="21">
        <v>69</v>
      </c>
      <c r="B70" s="22">
        <v>159</v>
      </c>
      <c r="C70" s="22">
        <v>31</v>
      </c>
      <c r="D70" s="22">
        <v>58</v>
      </c>
      <c r="E70" s="22">
        <v>235</v>
      </c>
      <c r="F70" s="24" t="str">
        <f>PROPER(nutrition!$H70)</f>
        <v>Barongko</v>
      </c>
      <c r="G70" s="22" t="str">
        <f>IF(nutrition!$B70&gt;300,"Tinggi Kalori",IF(nutrition!$B70&gt;100,"Kalori Sedang","Rendah Kalori"))</f>
        <v>Kalori Sedang</v>
      </c>
      <c r="H70" s="23" t="s">
        <v>74</v>
      </c>
    </row>
    <row r="71" spans="1:8" x14ac:dyDescent="0.3">
      <c r="A71" s="25">
        <v>70</v>
      </c>
      <c r="B71" s="26">
        <v>137</v>
      </c>
      <c r="C71" s="26">
        <v>43</v>
      </c>
      <c r="D71" s="26">
        <v>48</v>
      </c>
      <c r="E71" s="26">
        <v>191</v>
      </c>
      <c r="F71" s="28" t="str">
        <f>PROPER(nutrition!$H71)</f>
        <v>Batang Tading</v>
      </c>
      <c r="G71" s="26" t="str">
        <f>IF(nutrition!$B71&gt;300,"Tinggi Kalori",IF(nutrition!$B71&gt;100,"Kalori Sedang","Rendah Kalori"))</f>
        <v>Kalori Sedang</v>
      </c>
      <c r="H71" s="27" t="s">
        <v>75</v>
      </c>
    </row>
    <row r="72" spans="1:8" x14ac:dyDescent="0.3">
      <c r="A72" s="21">
        <v>71</v>
      </c>
      <c r="B72" s="22">
        <v>107</v>
      </c>
      <c r="C72" s="22">
        <v>22</v>
      </c>
      <c r="D72" s="22">
        <v>22</v>
      </c>
      <c r="E72" s="22">
        <v>196</v>
      </c>
      <c r="F72" s="24" t="str">
        <f>PROPER(nutrition!$H72)</f>
        <v>Batar Daan</v>
      </c>
      <c r="G72" s="22" t="str">
        <f>IF(nutrition!$B72&gt;300,"Tinggi Kalori",IF(nutrition!$B72&gt;100,"Kalori Sedang","Rendah Kalori"))</f>
        <v>Kalori Sedang</v>
      </c>
      <c r="H72" s="23" t="s">
        <v>76</v>
      </c>
    </row>
    <row r="73" spans="1:8" x14ac:dyDescent="0.3">
      <c r="A73" s="25">
        <v>72</v>
      </c>
      <c r="B73" s="26">
        <v>76</v>
      </c>
      <c r="C73" s="26">
        <v>11</v>
      </c>
      <c r="D73" s="26">
        <v>9</v>
      </c>
      <c r="E73" s="26">
        <v>16</v>
      </c>
      <c r="F73" s="28" t="str">
        <f>PROPER(nutrition!$H73)</f>
        <v>Batatas Gembili Segar</v>
      </c>
      <c r="G73" s="26" t="str">
        <f>IF(nutrition!$B73&gt;300,"Tinggi Kalori",IF(nutrition!$B73&gt;100,"Kalori Sedang","Rendah Kalori"))</f>
        <v>Rendah Kalori</v>
      </c>
      <c r="H73" s="27" t="s">
        <v>77</v>
      </c>
    </row>
    <row r="74" spans="1:8" x14ac:dyDescent="0.3">
      <c r="A74" s="21">
        <v>73</v>
      </c>
      <c r="B74" s="22">
        <v>110</v>
      </c>
      <c r="C74" s="22">
        <v>14</v>
      </c>
      <c r="D74" s="22">
        <v>11</v>
      </c>
      <c r="E74" s="22">
        <v>234</v>
      </c>
      <c r="F74" s="24" t="str">
        <f>PROPER(nutrition!$H74)</f>
        <v>Batatas Kelapa Ubi Bakar</v>
      </c>
      <c r="G74" s="22" t="str">
        <f>IF(nutrition!$B74&gt;300,"Tinggi Kalori",IF(nutrition!$B74&gt;100,"Kalori Sedang","Rendah Kalori"))</f>
        <v>Kalori Sedang</v>
      </c>
      <c r="H74" s="23" t="s">
        <v>78</v>
      </c>
    </row>
    <row r="75" spans="1:8" x14ac:dyDescent="0.3">
      <c r="A75" s="25">
        <v>74</v>
      </c>
      <c r="B75" s="26">
        <v>92</v>
      </c>
      <c r="C75" s="26">
        <v>12</v>
      </c>
      <c r="D75" s="26">
        <v>3</v>
      </c>
      <c r="E75" s="26">
        <v>21</v>
      </c>
      <c r="F75" s="28" t="str">
        <f>PROPER(nutrition!$H75)</f>
        <v>Batatas Kelapa Ubi Kukus</v>
      </c>
      <c r="G75" s="26" t="str">
        <f>IF(nutrition!$B75&gt;300,"Tinggi Kalori",IF(nutrition!$B75&gt;100,"Kalori Sedang","Rendah Kalori"))</f>
        <v>Rendah Kalori</v>
      </c>
      <c r="H75" s="27" t="s">
        <v>79</v>
      </c>
    </row>
    <row r="76" spans="1:8" x14ac:dyDescent="0.3">
      <c r="A76" s="21">
        <v>75</v>
      </c>
      <c r="B76" s="22">
        <v>89</v>
      </c>
      <c r="C76" s="22">
        <v>11</v>
      </c>
      <c r="D76" s="22">
        <v>1</v>
      </c>
      <c r="E76" s="22">
        <v>21</v>
      </c>
      <c r="F76" s="24" t="str">
        <f>PROPER(nutrition!$H76)</f>
        <v>Batatas Kelapa Ubi Segar</v>
      </c>
      <c r="G76" s="22" t="str">
        <f>IF(nutrition!$B76&gt;300,"Tinggi Kalori",IF(nutrition!$B76&gt;100,"Kalori Sedang","Rendah Kalori"))</f>
        <v>Rendah Kalori</v>
      </c>
      <c r="H76" s="23" t="s">
        <v>80</v>
      </c>
    </row>
    <row r="77" spans="1:8" x14ac:dyDescent="0.3">
      <c r="A77" s="25">
        <v>76</v>
      </c>
      <c r="B77" s="26">
        <v>182</v>
      </c>
      <c r="C77" s="26">
        <v>24</v>
      </c>
      <c r="D77" s="26">
        <v>4</v>
      </c>
      <c r="E77" s="26">
        <v>422</v>
      </c>
      <c r="F77" s="28" t="str">
        <f>PROPER(nutrition!$H77)</f>
        <v>Batatas Tali Ubi Rebus</v>
      </c>
      <c r="G77" s="26" t="str">
        <f>IF(nutrition!$B77&gt;300,"Tinggi Kalori",IF(nutrition!$B77&gt;100,"Kalori Sedang","Rendah Kalori"))</f>
        <v>Kalori Sedang</v>
      </c>
      <c r="H77" s="27" t="s">
        <v>81</v>
      </c>
    </row>
    <row r="78" spans="1:8" x14ac:dyDescent="0.3">
      <c r="A78" s="21">
        <v>77</v>
      </c>
      <c r="B78" s="22">
        <v>45</v>
      </c>
      <c r="C78" s="22">
        <v>14</v>
      </c>
      <c r="D78" s="22">
        <v>2</v>
      </c>
      <c r="E78" s="22">
        <v>103</v>
      </c>
      <c r="F78" s="24" t="str">
        <f>PROPER(nutrition!$H78)</f>
        <v>Bawang Bombay</v>
      </c>
      <c r="G78" s="22" t="str">
        <f>IF(nutrition!$B78&gt;300,"Tinggi Kalori",IF(nutrition!$B78&gt;100,"Kalori Sedang","Rendah Kalori"))</f>
        <v>Rendah Kalori</v>
      </c>
      <c r="H78" s="23" t="s">
        <v>82</v>
      </c>
    </row>
    <row r="79" spans="1:8" x14ac:dyDescent="0.3">
      <c r="A79" s="25">
        <v>78</v>
      </c>
      <c r="B79" s="26">
        <v>39</v>
      </c>
      <c r="C79" s="26">
        <v>15</v>
      </c>
      <c r="D79" s="26">
        <v>3</v>
      </c>
      <c r="E79" s="26">
        <v>2</v>
      </c>
      <c r="F79" s="28" t="str">
        <f>PROPER(nutrition!$H79)</f>
        <v>Bawang Merah</v>
      </c>
      <c r="G79" s="26" t="str">
        <f>IF(nutrition!$B79&gt;300,"Tinggi Kalori",IF(nutrition!$B79&gt;100,"Kalori Sedang","Rendah Kalori"))</f>
        <v>Rendah Kalori</v>
      </c>
      <c r="H79" s="27" t="s">
        <v>83</v>
      </c>
    </row>
    <row r="80" spans="1:8" x14ac:dyDescent="0.3">
      <c r="A80" s="21">
        <v>79</v>
      </c>
      <c r="B80" s="22">
        <v>95</v>
      </c>
      <c r="C80" s="22">
        <v>45</v>
      </c>
      <c r="D80" s="22">
        <v>2</v>
      </c>
      <c r="E80" s="22">
        <v>231</v>
      </c>
      <c r="F80" s="24" t="str">
        <f>PROPER(nutrition!$H80)</f>
        <v>Bawang Putih</v>
      </c>
      <c r="G80" s="22" t="str">
        <f>IF(nutrition!$B80&gt;300,"Tinggi Kalori",IF(nutrition!$B80&gt;100,"Kalori Sedang","Rendah Kalori"))</f>
        <v>Rendah Kalori</v>
      </c>
      <c r="H80" s="23" t="s">
        <v>84</v>
      </c>
    </row>
    <row r="81" spans="1:8" x14ac:dyDescent="0.3">
      <c r="A81" s="25">
        <v>80</v>
      </c>
      <c r="B81" s="26">
        <v>30</v>
      </c>
      <c r="C81" s="26">
        <v>13</v>
      </c>
      <c r="D81" s="26">
        <v>7</v>
      </c>
      <c r="E81" s="26">
        <v>58</v>
      </c>
      <c r="F81" s="28" t="str">
        <f>PROPER(nutrition!$H81)</f>
        <v>Bayam Kukus</v>
      </c>
      <c r="G81" s="26" t="str">
        <f>IF(nutrition!$B81&gt;300,"Tinggi Kalori",IF(nutrition!$B81&gt;100,"Kalori Sedang","Rendah Kalori"))</f>
        <v>Rendah Kalori</v>
      </c>
      <c r="H81" s="27" t="s">
        <v>85</v>
      </c>
    </row>
    <row r="82" spans="1:8" x14ac:dyDescent="0.3">
      <c r="A82" s="21">
        <v>81</v>
      </c>
      <c r="B82" s="22">
        <v>51</v>
      </c>
      <c r="C82" s="22">
        <v>46</v>
      </c>
      <c r="D82" s="22">
        <v>5</v>
      </c>
      <c r="E82" s="22">
        <v>10</v>
      </c>
      <c r="F82" s="24" t="str">
        <f>PROPER(nutrition!$H82)</f>
        <v>Bayam Merah</v>
      </c>
      <c r="G82" s="22" t="str">
        <f>IF(nutrition!$B82&gt;300,"Tinggi Kalori",IF(nutrition!$B82&gt;100,"Kalori Sedang","Rendah Kalori"))</f>
        <v>Rendah Kalori</v>
      </c>
      <c r="H82" s="23" t="s">
        <v>86</v>
      </c>
    </row>
    <row r="83" spans="1:8" x14ac:dyDescent="0.3">
      <c r="A83" s="25">
        <v>82</v>
      </c>
      <c r="B83" s="26">
        <v>41</v>
      </c>
      <c r="C83" s="26">
        <v>22</v>
      </c>
      <c r="D83" s="26">
        <v>8</v>
      </c>
      <c r="E83" s="26">
        <v>63</v>
      </c>
      <c r="F83" s="28" t="str">
        <f>PROPER(nutrition!$H83)</f>
        <v>Bayam Merah Segar</v>
      </c>
      <c r="G83" s="26" t="str">
        <f>IF(nutrition!$B83&gt;300,"Tinggi Kalori",IF(nutrition!$B83&gt;100,"Kalori Sedang","Rendah Kalori"))</f>
        <v>Rendah Kalori</v>
      </c>
      <c r="H83" s="27" t="s">
        <v>87</v>
      </c>
    </row>
    <row r="84" spans="1:8" x14ac:dyDescent="0.3">
      <c r="A84" s="21">
        <v>83</v>
      </c>
      <c r="B84" s="22">
        <v>23</v>
      </c>
      <c r="C84" s="22">
        <v>12</v>
      </c>
      <c r="D84" s="22">
        <v>6</v>
      </c>
      <c r="E84" s="22">
        <v>37</v>
      </c>
      <c r="F84" s="24" t="str">
        <f>PROPER(nutrition!$H84)</f>
        <v>Bayam Rebus</v>
      </c>
      <c r="G84" s="22" t="str">
        <f>IF(nutrition!$B84&gt;300,"Tinggi Kalori",IF(nutrition!$B84&gt;100,"Kalori Sedang","Rendah Kalori"))</f>
        <v>Rendah Kalori</v>
      </c>
      <c r="H84" s="23" t="s">
        <v>88</v>
      </c>
    </row>
    <row r="85" spans="1:8" x14ac:dyDescent="0.3">
      <c r="A85" s="25">
        <v>84</v>
      </c>
      <c r="B85" s="26">
        <v>36</v>
      </c>
      <c r="C85" s="26">
        <v>35</v>
      </c>
      <c r="D85" s="26">
        <v>5</v>
      </c>
      <c r="E85" s="26">
        <v>65</v>
      </c>
      <c r="F85" s="28" t="str">
        <f>PROPER(nutrition!$H85)</f>
        <v>Bayam Segar</v>
      </c>
      <c r="G85" s="26" t="str">
        <f>IF(nutrition!$B85&gt;300,"Tinggi Kalori",IF(nutrition!$B85&gt;100,"Kalori Sedang","Rendah Kalori"))</f>
        <v>Rendah Kalori</v>
      </c>
      <c r="H85" s="27" t="s">
        <v>89</v>
      </c>
    </row>
    <row r="86" spans="1:8" x14ac:dyDescent="0.3">
      <c r="A86" s="21">
        <v>85</v>
      </c>
      <c r="B86" s="22">
        <v>102</v>
      </c>
      <c r="C86" s="22">
        <v>37</v>
      </c>
      <c r="D86" s="22">
        <v>67</v>
      </c>
      <c r="E86" s="22">
        <v>69</v>
      </c>
      <c r="F86" s="24" t="str">
        <f>PROPER(nutrition!$H86)</f>
        <v>Bayam Tumis + Oncom</v>
      </c>
      <c r="G86" s="22" t="str">
        <f>IF(nutrition!$B86&gt;300,"Tinggi Kalori",IF(nutrition!$B86&gt;100,"Kalori Sedang","Rendah Kalori"))</f>
        <v>Kalori Sedang</v>
      </c>
      <c r="H86" s="23" t="s">
        <v>90</v>
      </c>
    </row>
    <row r="87" spans="1:8" x14ac:dyDescent="0.3">
      <c r="A87" s="25">
        <v>86</v>
      </c>
      <c r="B87" s="26">
        <v>48</v>
      </c>
      <c r="C87" s="26">
        <v>14</v>
      </c>
      <c r="D87" s="26">
        <v>42</v>
      </c>
      <c r="E87" s="26">
        <v>26</v>
      </c>
      <c r="F87" s="28" t="str">
        <f>PROPER(nutrition!$H87)</f>
        <v>Bayam Tumis Bersantan</v>
      </c>
      <c r="G87" s="26" t="str">
        <f>IF(nutrition!$B87&gt;300,"Tinggi Kalori",IF(nutrition!$B87&gt;100,"Kalori Sedang","Rendah Kalori"))</f>
        <v>Rendah Kalori</v>
      </c>
      <c r="H87" s="27" t="s">
        <v>91</v>
      </c>
    </row>
    <row r="88" spans="1:8" x14ac:dyDescent="0.3">
      <c r="A88" s="21">
        <v>87</v>
      </c>
      <c r="B88" s="22">
        <v>326</v>
      </c>
      <c r="C88" s="22">
        <v>16</v>
      </c>
      <c r="D88" s="22">
        <v>286</v>
      </c>
      <c r="E88" s="22">
        <v>0</v>
      </c>
      <c r="F88" s="24" t="str">
        <f>PROPER(nutrition!$H88)</f>
        <v>Bebek (Itik)</v>
      </c>
      <c r="G88" s="22" t="str">
        <f>IF(nutrition!$B88&gt;300,"Tinggi Kalori",IF(nutrition!$B88&gt;100,"Kalori Sedang","Rendah Kalori"))</f>
        <v>Tinggi Kalori</v>
      </c>
      <c r="H88" s="23" t="s">
        <v>92</v>
      </c>
    </row>
    <row r="89" spans="1:8" x14ac:dyDescent="0.3">
      <c r="A89" s="25">
        <v>88</v>
      </c>
      <c r="B89" s="26">
        <v>303</v>
      </c>
      <c r="C89" s="26">
        <v>113</v>
      </c>
      <c r="D89" s="26">
        <v>27</v>
      </c>
      <c r="E89" s="26">
        <v>37</v>
      </c>
      <c r="F89" s="28" t="str">
        <f>PROPER(nutrition!$H89)</f>
        <v>Bebek Alabio Daging Segar</v>
      </c>
      <c r="G89" s="26" t="str">
        <f>IF(nutrition!$B89&gt;300,"Tinggi Kalori",IF(nutrition!$B89&gt;100,"Kalori Sedang","Rendah Kalori"))</f>
        <v>Tinggi Kalori</v>
      </c>
      <c r="H89" s="27" t="s">
        <v>93</v>
      </c>
    </row>
    <row r="90" spans="1:8" x14ac:dyDescent="0.3">
      <c r="A90" s="21">
        <v>89</v>
      </c>
      <c r="B90" s="22">
        <v>300</v>
      </c>
      <c r="C90" s="22">
        <v>24</v>
      </c>
      <c r="D90" s="22">
        <v>207</v>
      </c>
      <c r="E90" s="22">
        <v>45</v>
      </c>
      <c r="F90" s="24" t="str">
        <f>PROPER(nutrition!$H90)</f>
        <v>Bebek Daging Goreng</v>
      </c>
      <c r="G90" s="22" t="str">
        <f>IF(nutrition!$B90&gt;300,"Tinggi Kalori",IF(nutrition!$B90&gt;100,"Kalori Sedang","Rendah Kalori"))</f>
        <v>Kalori Sedang</v>
      </c>
      <c r="H90" s="23" t="s">
        <v>94</v>
      </c>
    </row>
    <row r="91" spans="1:8" x14ac:dyDescent="0.3">
      <c r="A91" s="25">
        <v>90</v>
      </c>
      <c r="B91" s="26">
        <v>65</v>
      </c>
      <c r="C91" s="26">
        <v>11</v>
      </c>
      <c r="D91" s="26">
        <v>52</v>
      </c>
      <c r="E91" s="26">
        <v>35</v>
      </c>
      <c r="F91" s="28" t="str">
        <f>PROPER(nutrition!$H91)</f>
        <v>Beberuk</v>
      </c>
      <c r="G91" s="26" t="str">
        <f>IF(nutrition!$B91&gt;300,"Tinggi Kalori",IF(nutrition!$B91&gt;100,"Kalori Sedang","Rendah Kalori"))</f>
        <v>Rendah Kalori</v>
      </c>
      <c r="H91" s="27" t="s">
        <v>95</v>
      </c>
    </row>
    <row r="92" spans="1:8" x14ac:dyDescent="0.3">
      <c r="A92" s="21">
        <v>91</v>
      </c>
      <c r="B92" s="22">
        <v>258</v>
      </c>
      <c r="C92" s="22">
        <v>106</v>
      </c>
      <c r="D92" s="22">
        <v>95</v>
      </c>
      <c r="E92" s="22">
        <v>325</v>
      </c>
      <c r="F92" s="24" t="str">
        <f>PROPER(nutrition!$H92)</f>
        <v>Beef Burger</v>
      </c>
      <c r="G92" s="22" t="str">
        <f>IF(nutrition!$B92&gt;300,"Tinggi Kalori",IF(nutrition!$B92&gt;100,"Kalori Sedang","Rendah Kalori"))</f>
        <v>Kalori Sedang</v>
      </c>
      <c r="H92" s="23" t="s">
        <v>96</v>
      </c>
    </row>
    <row r="93" spans="1:8" x14ac:dyDescent="0.3">
      <c r="A93" s="25">
        <v>92</v>
      </c>
      <c r="B93" s="26">
        <v>151</v>
      </c>
      <c r="C93" s="26">
        <v>86</v>
      </c>
      <c r="D93" s="26">
        <v>31</v>
      </c>
      <c r="E93" s="26">
        <v>223</v>
      </c>
      <c r="F93" s="28" t="str">
        <f>PROPER(nutrition!$H93)</f>
        <v>Beef Teriyaki Masakan</v>
      </c>
      <c r="G93" s="26" t="str">
        <f>IF(nutrition!$B93&gt;300,"Tinggi Kalori",IF(nutrition!$B93&gt;100,"Kalori Sedang","Rendah Kalori"))</f>
        <v>Kalori Sedang</v>
      </c>
      <c r="H93" s="27" t="s">
        <v>97</v>
      </c>
    </row>
    <row r="94" spans="1:8" x14ac:dyDescent="0.3">
      <c r="A94" s="21">
        <v>93</v>
      </c>
      <c r="B94" s="22">
        <v>132</v>
      </c>
      <c r="C94" s="22">
        <v>98</v>
      </c>
      <c r="D94" s="22">
        <v>11</v>
      </c>
      <c r="E94" s="22">
        <v>207</v>
      </c>
      <c r="F94" s="24" t="str">
        <f>PROPER(nutrition!$H94)</f>
        <v>Beef Yakiniku Masakan</v>
      </c>
      <c r="G94" s="22" t="str">
        <f>IF(nutrition!$B94&gt;300,"Tinggi Kalori",IF(nutrition!$B94&gt;100,"Kalori Sedang","Rendah Kalori"))</f>
        <v>Kalori Sedang</v>
      </c>
      <c r="H94" s="23" t="s">
        <v>98</v>
      </c>
    </row>
    <row r="95" spans="1:8" x14ac:dyDescent="0.3">
      <c r="A95" s="25">
        <v>94</v>
      </c>
      <c r="B95" s="26">
        <v>116</v>
      </c>
      <c r="C95" s="26">
        <v>119</v>
      </c>
      <c r="D95" s="26">
        <v>49</v>
      </c>
      <c r="E95" s="26">
        <v>61</v>
      </c>
      <c r="F95" s="28" t="str">
        <f>PROPER(nutrition!$H95)</f>
        <v>Bekasam</v>
      </c>
      <c r="G95" s="26" t="str">
        <f>IF(nutrition!$B95&gt;300,"Tinggi Kalori",IF(nutrition!$B95&gt;100,"Kalori Sedang","Rendah Kalori"))</f>
        <v>Kalori Sedang</v>
      </c>
      <c r="H95" s="27" t="s">
        <v>99</v>
      </c>
    </row>
    <row r="96" spans="1:8" x14ac:dyDescent="0.3">
      <c r="A96" s="21">
        <v>95</v>
      </c>
      <c r="B96" s="22">
        <v>78</v>
      </c>
      <c r="C96" s="22">
        <v>114</v>
      </c>
      <c r="D96" s="22">
        <v>2</v>
      </c>
      <c r="E96" s="22">
        <v>36</v>
      </c>
      <c r="F96" s="24" t="str">
        <f>PROPER(nutrition!$H96)</f>
        <v>Bekasang</v>
      </c>
      <c r="G96" s="22" t="str">
        <f>IF(nutrition!$B96&gt;300,"Tinggi Kalori",IF(nutrition!$B96&gt;100,"Kalori Sedang","Rendah Kalori"))</f>
        <v>Rendah Kalori</v>
      </c>
      <c r="H96" s="23" t="s">
        <v>100</v>
      </c>
    </row>
    <row r="97" spans="1:8" x14ac:dyDescent="0.3">
      <c r="A97" s="25">
        <v>96</v>
      </c>
      <c r="B97" s="26">
        <v>131</v>
      </c>
      <c r="C97" s="26">
        <v>202</v>
      </c>
      <c r="D97" s="26">
        <v>43</v>
      </c>
      <c r="E97" s="26">
        <v>28</v>
      </c>
      <c r="F97" s="28" t="str">
        <f>PROPER(nutrition!$H97)</f>
        <v>Belibis Daging Segar</v>
      </c>
      <c r="G97" s="26" t="str">
        <f>IF(nutrition!$B97&gt;300,"Tinggi Kalori",IF(nutrition!$B97&gt;100,"Kalori Sedang","Rendah Kalori"))</f>
        <v>Kalori Sedang</v>
      </c>
      <c r="H97" s="27" t="s">
        <v>101</v>
      </c>
    </row>
    <row r="98" spans="1:8" x14ac:dyDescent="0.3">
      <c r="A98" s="21">
        <v>97</v>
      </c>
      <c r="B98" s="22">
        <v>36</v>
      </c>
      <c r="C98" s="22">
        <v>4</v>
      </c>
      <c r="D98" s="22">
        <v>4</v>
      </c>
      <c r="E98" s="22">
        <v>88</v>
      </c>
      <c r="F98" s="24" t="str">
        <f>PROPER(nutrition!$H98)</f>
        <v>Belimbing</v>
      </c>
      <c r="G98" s="22" t="str">
        <f>IF(nutrition!$B98&gt;300,"Tinggi Kalori",IF(nutrition!$B98&gt;100,"Kalori Sedang","Rendah Kalori"))</f>
        <v>Rendah Kalori</v>
      </c>
      <c r="H98" s="23" t="s">
        <v>102</v>
      </c>
    </row>
    <row r="99" spans="1:8" x14ac:dyDescent="0.3">
      <c r="A99" s="25">
        <v>98</v>
      </c>
      <c r="B99" s="26">
        <v>145</v>
      </c>
      <c r="C99" s="26">
        <v>12</v>
      </c>
      <c r="D99" s="26">
        <v>4</v>
      </c>
      <c r="E99" s="26">
        <v>342</v>
      </c>
      <c r="F99" s="28" t="str">
        <f>PROPER(nutrition!$H99)</f>
        <v>Belitung Talas Kukus</v>
      </c>
      <c r="G99" s="26" t="str">
        <f>IF(nutrition!$B99&gt;300,"Tinggi Kalori",IF(nutrition!$B99&gt;100,"Kalori Sedang","Rendah Kalori"))</f>
        <v>Kalori Sedang</v>
      </c>
      <c r="H99" s="27" t="s">
        <v>103</v>
      </c>
    </row>
    <row r="100" spans="1:8" x14ac:dyDescent="0.3">
      <c r="A100" s="21">
        <v>99</v>
      </c>
      <c r="B100" s="22">
        <v>417</v>
      </c>
      <c r="C100" s="22">
        <v>259</v>
      </c>
      <c r="D100" s="22">
        <v>194</v>
      </c>
      <c r="E100" s="22">
        <v>32</v>
      </c>
      <c r="F100" s="24" t="str">
        <f>PROPER(nutrition!$H100)</f>
        <v>Belut Goreng</v>
      </c>
      <c r="G100" s="22" t="str">
        <f>IF(nutrition!$B100&gt;300,"Tinggi Kalori",IF(nutrition!$B100&gt;100,"Kalori Sedang","Rendah Kalori"))</f>
        <v>Tinggi Kalori</v>
      </c>
      <c r="H100" s="23" t="s">
        <v>104</v>
      </c>
    </row>
    <row r="101" spans="1:8" x14ac:dyDescent="0.3">
      <c r="A101" s="25">
        <v>100</v>
      </c>
      <c r="B101" s="26">
        <v>70</v>
      </c>
      <c r="C101" s="26">
        <v>146</v>
      </c>
      <c r="D101" s="26">
        <v>8</v>
      </c>
      <c r="E101" s="26">
        <v>1</v>
      </c>
      <c r="F101" s="28" t="str">
        <f>PROPER(nutrition!$H101)</f>
        <v>Belut Segar</v>
      </c>
      <c r="G101" s="26" t="str">
        <f>IF(nutrition!$B101&gt;300,"Tinggi Kalori",IF(nutrition!$B101&gt;100,"Kalori Sedang","Rendah Kalori"))</f>
        <v>Rendah Kalori</v>
      </c>
      <c r="H101" s="27" t="s">
        <v>105</v>
      </c>
    </row>
    <row r="102" spans="1:8" x14ac:dyDescent="0.3">
      <c r="A102" s="21">
        <v>101</v>
      </c>
      <c r="B102" s="22">
        <v>93</v>
      </c>
      <c r="C102" s="22">
        <v>128</v>
      </c>
      <c r="D102" s="22">
        <v>15</v>
      </c>
      <c r="E102" s="22">
        <v>61</v>
      </c>
      <c r="F102" s="24" t="str">
        <f>PROPER(nutrition!$H102)</f>
        <v>Belutlaut Segar</v>
      </c>
      <c r="G102" s="22" t="str">
        <f>IF(nutrition!$B102&gt;300,"Tinggi Kalori",IF(nutrition!$B102&gt;100,"Kalori Sedang","Rendah Kalori"))</f>
        <v>Rendah Kalori</v>
      </c>
      <c r="H102" s="23" t="s">
        <v>106</v>
      </c>
    </row>
    <row r="103" spans="1:8" x14ac:dyDescent="0.3">
      <c r="A103" s="25">
        <v>102</v>
      </c>
      <c r="B103" s="26">
        <v>55</v>
      </c>
      <c r="C103" s="26">
        <v>14</v>
      </c>
      <c r="D103" s="26">
        <v>2</v>
      </c>
      <c r="E103" s="26">
        <v>128</v>
      </c>
      <c r="F103" s="28" t="str">
        <f>PROPER(nutrition!$H103)</f>
        <v>Bengkuang</v>
      </c>
      <c r="G103" s="26" t="str">
        <f>IF(nutrition!$B103&gt;300,"Tinggi Kalori",IF(nutrition!$B103&gt;100,"Kalori Sedang","Rendah Kalori"))</f>
        <v>Rendah Kalori</v>
      </c>
      <c r="H103" s="27" t="s">
        <v>107</v>
      </c>
    </row>
    <row r="104" spans="1:8" x14ac:dyDescent="0.3">
      <c r="A104" s="21">
        <v>103</v>
      </c>
      <c r="B104" s="22">
        <v>98</v>
      </c>
      <c r="C104" s="22">
        <v>16</v>
      </c>
      <c r="D104" s="22">
        <v>7</v>
      </c>
      <c r="E104" s="22">
        <v>209</v>
      </c>
      <c r="F104" s="24" t="str">
        <f>PROPER(nutrition!$H104)</f>
        <v>Bentul (Komba)  Talas Segar</v>
      </c>
      <c r="G104" s="22" t="str">
        <f>IF(nutrition!$B104&gt;300,"Tinggi Kalori",IF(nutrition!$B104&gt;100,"Kalori Sedang","Rendah Kalori"))</f>
        <v>Rendah Kalori</v>
      </c>
      <c r="H104" s="23" t="s">
        <v>108</v>
      </c>
    </row>
    <row r="105" spans="1:8" x14ac:dyDescent="0.3">
      <c r="A105" s="25">
        <v>104</v>
      </c>
      <c r="B105" s="26">
        <v>71</v>
      </c>
      <c r="C105" s="26">
        <v>23</v>
      </c>
      <c r="D105" s="26">
        <v>3</v>
      </c>
      <c r="E105" s="26">
        <v>154</v>
      </c>
      <c r="F105" s="28" t="str">
        <f>PROPER(nutrition!$H105)</f>
        <v>Bentul Talas Kukus</v>
      </c>
      <c r="G105" s="26" t="str">
        <f>IF(nutrition!$B105&gt;300,"Tinggi Kalori",IF(nutrition!$B105&gt;100,"Kalori Sedang","Rendah Kalori"))</f>
        <v>Rendah Kalori</v>
      </c>
      <c r="H105" s="27" t="s">
        <v>109</v>
      </c>
    </row>
    <row r="106" spans="1:8" x14ac:dyDescent="0.3">
      <c r="A106" s="21">
        <v>105</v>
      </c>
      <c r="B106" s="22">
        <v>350</v>
      </c>
      <c r="C106" s="22">
        <v>27</v>
      </c>
      <c r="D106" s="22">
        <v>11</v>
      </c>
      <c r="E106" s="22">
        <v>823</v>
      </c>
      <c r="F106" s="24" t="str">
        <f>PROPER(nutrition!$H106)</f>
        <v>Beras Cerdas</v>
      </c>
      <c r="G106" s="22" t="str">
        <f>IF(nutrition!$B106&gt;300,"Tinggi Kalori",IF(nutrition!$B106&gt;100,"Kalori Sedang","Rendah Kalori"))</f>
        <v>Tinggi Kalori</v>
      </c>
      <c r="H106" s="23" t="s">
        <v>110</v>
      </c>
    </row>
    <row r="107" spans="1:8" x14ac:dyDescent="0.3">
      <c r="A107" s="25">
        <v>106</v>
      </c>
      <c r="B107" s="26">
        <v>364</v>
      </c>
      <c r="C107" s="26">
        <v>34</v>
      </c>
      <c r="D107" s="26">
        <v>7</v>
      </c>
      <c r="E107" s="26">
        <v>863</v>
      </c>
      <c r="F107" s="28" t="str">
        <f>PROPER(nutrition!$H107)</f>
        <v>Beras Ganyong</v>
      </c>
      <c r="G107" s="26" t="str">
        <f>IF(nutrition!$B107&gt;300,"Tinggi Kalori",IF(nutrition!$B107&gt;100,"Kalori Sedang","Rendah Kalori"))</f>
        <v>Tinggi Kalori</v>
      </c>
      <c r="H107" s="27" t="s">
        <v>111</v>
      </c>
    </row>
    <row r="108" spans="1:8" x14ac:dyDescent="0.3">
      <c r="A108" s="21">
        <v>107</v>
      </c>
      <c r="B108" s="22">
        <v>360</v>
      </c>
      <c r="C108" s="22">
        <v>68</v>
      </c>
      <c r="D108" s="22">
        <v>7</v>
      </c>
      <c r="E108" s="22">
        <v>789</v>
      </c>
      <c r="F108" s="24" t="str">
        <f>PROPER(nutrition!$H108)</f>
        <v>Beras Giling</v>
      </c>
      <c r="G108" s="22" t="str">
        <f>IF(nutrition!$B108&gt;300,"Tinggi Kalori",IF(nutrition!$B108&gt;100,"Kalori Sedang","Rendah Kalori"))</f>
        <v>Tinggi Kalori</v>
      </c>
      <c r="H108" s="23" t="s">
        <v>112</v>
      </c>
    </row>
    <row r="109" spans="1:8" x14ac:dyDescent="0.3">
      <c r="A109" s="25">
        <v>108</v>
      </c>
      <c r="B109" s="26">
        <v>178</v>
      </c>
      <c r="C109" s="26">
        <v>21</v>
      </c>
      <c r="D109" s="26">
        <v>1</v>
      </c>
      <c r="E109" s="26">
        <v>406</v>
      </c>
      <c r="F109" s="28" t="str">
        <f>PROPER(nutrition!$H109)</f>
        <v xml:space="preserve">Beras Giling Masak (Nasi) </v>
      </c>
      <c r="G109" s="26" t="str">
        <f>IF(nutrition!$B109&gt;300,"Tinggi Kalori",IF(nutrition!$B109&gt;100,"Kalori Sedang","Rendah Kalori"))</f>
        <v>Kalori Sedang</v>
      </c>
      <c r="H109" s="27" t="s">
        <v>113</v>
      </c>
    </row>
    <row r="110" spans="1:8" x14ac:dyDescent="0.3">
      <c r="A110" s="21">
        <v>109</v>
      </c>
      <c r="B110" s="22">
        <v>357</v>
      </c>
      <c r="C110" s="22">
        <v>84</v>
      </c>
      <c r="D110" s="22">
        <v>17</v>
      </c>
      <c r="E110" s="22">
        <v>771</v>
      </c>
      <c r="F110" s="24" t="str">
        <f>PROPER(nutrition!$H110)</f>
        <v>Beras Giling Mentah</v>
      </c>
      <c r="G110" s="22" t="str">
        <f>IF(nutrition!$B110&gt;300,"Tinggi Kalori",IF(nutrition!$B110&gt;100,"Kalori Sedang","Rendah Kalori"))</f>
        <v>Tinggi Kalori</v>
      </c>
      <c r="H110" s="23" t="s">
        <v>114</v>
      </c>
    </row>
    <row r="111" spans="1:8" x14ac:dyDescent="0.3">
      <c r="A111" s="25">
        <v>110</v>
      </c>
      <c r="B111" s="26">
        <v>369</v>
      </c>
      <c r="C111" s="26">
        <v>95</v>
      </c>
      <c r="D111" s="26">
        <v>14</v>
      </c>
      <c r="E111" s="26">
        <v>771</v>
      </c>
      <c r="F111" s="28" t="str">
        <f>PROPER(nutrition!$H111)</f>
        <v>Beras Giling Var Pelita Mentah</v>
      </c>
      <c r="G111" s="26" t="str">
        <f>IF(nutrition!$B111&gt;300,"Tinggi Kalori",IF(nutrition!$B111&gt;100,"Kalori Sedang","Rendah Kalori"))</f>
        <v>Tinggi Kalori</v>
      </c>
      <c r="H111" s="27" t="s">
        <v>115</v>
      </c>
    </row>
    <row r="112" spans="1:8" x14ac:dyDescent="0.3">
      <c r="A112" s="21">
        <v>111</v>
      </c>
      <c r="B112" s="22">
        <v>357</v>
      </c>
      <c r="C112" s="22">
        <v>84</v>
      </c>
      <c r="D112" s="22">
        <v>17</v>
      </c>
      <c r="E112" s="22">
        <v>771</v>
      </c>
      <c r="F112" s="24" t="str">
        <f>PROPER(nutrition!$H112)</f>
        <v>Beras Giling Var Rojolele Mentah</v>
      </c>
      <c r="G112" s="22" t="str">
        <f>IF(nutrition!$B112&gt;300,"Tinggi Kalori",IF(nutrition!$B112&gt;100,"Kalori Sedang","Rendah Kalori"))</f>
        <v>Tinggi Kalori</v>
      </c>
      <c r="H112" s="23" t="s">
        <v>116</v>
      </c>
    </row>
    <row r="113" spans="1:8" x14ac:dyDescent="0.3">
      <c r="A113" s="25">
        <v>112</v>
      </c>
      <c r="B113" s="26">
        <v>351</v>
      </c>
      <c r="C113" s="26">
        <v>8</v>
      </c>
      <c r="D113" s="26">
        <v>13</v>
      </c>
      <c r="E113" s="26">
        <v>769</v>
      </c>
      <c r="F113" s="28" t="str">
        <f>PROPER(nutrition!$H113)</f>
        <v>Beras Hitam Mentah</v>
      </c>
      <c r="G113" s="26" t="str">
        <f>IF(nutrition!$B113&gt;300,"Tinggi Kalori",IF(nutrition!$B113&gt;100,"Kalori Sedang","Rendah Kalori"))</f>
        <v>Tinggi Kalori</v>
      </c>
      <c r="H113" s="27" t="s">
        <v>117</v>
      </c>
    </row>
    <row r="114" spans="1:8" x14ac:dyDescent="0.3">
      <c r="A114" s="21">
        <v>113</v>
      </c>
      <c r="B114" s="22">
        <v>358</v>
      </c>
      <c r="C114" s="22">
        <v>55</v>
      </c>
      <c r="D114" s="22">
        <v>1</v>
      </c>
      <c r="E114" s="22">
        <v>827</v>
      </c>
      <c r="F114" s="24" t="str">
        <f>PROPER(nutrition!$H114)</f>
        <v>Beras Jagung Kuning Kering Mentah</v>
      </c>
      <c r="G114" s="22" t="str">
        <f>IF(nutrition!$B114&gt;300,"Tinggi Kalori",IF(nutrition!$B114&gt;100,"Kalori Sedang","Rendah Kalori"))</f>
        <v>Tinggi Kalori</v>
      </c>
      <c r="H114" s="23" t="s">
        <v>118</v>
      </c>
    </row>
    <row r="115" spans="1:8" x14ac:dyDescent="0.3">
      <c r="A115" s="25">
        <v>114</v>
      </c>
      <c r="B115" s="26">
        <v>307</v>
      </c>
      <c r="C115" s="26">
        <v>48</v>
      </c>
      <c r="D115" s="26">
        <v>1</v>
      </c>
      <c r="E115" s="26">
        <v>718</v>
      </c>
      <c r="F115" s="28" t="str">
        <f>PROPER(nutrition!$H115)</f>
        <v>Beras Jagung Putih Kering Mentah</v>
      </c>
      <c r="G115" s="26" t="str">
        <f>IF(nutrition!$B115&gt;300,"Tinggi Kalori",IF(nutrition!$B115&gt;100,"Kalori Sedang","Rendah Kalori"))</f>
        <v>Tinggi Kalori</v>
      </c>
      <c r="H115" s="27" t="s">
        <v>119</v>
      </c>
    </row>
    <row r="116" spans="1:8" x14ac:dyDescent="0.3">
      <c r="A116" s="21">
        <v>115</v>
      </c>
      <c r="B116" s="22">
        <v>356</v>
      </c>
      <c r="C116" s="22">
        <v>7</v>
      </c>
      <c r="D116" s="22">
        <v>7</v>
      </c>
      <c r="E116" s="22">
        <v>78</v>
      </c>
      <c r="F116" s="24" t="str">
        <f>PROPER(nutrition!$H116)</f>
        <v>Beras Ketan Hitam</v>
      </c>
      <c r="G116" s="22" t="str">
        <f>IF(nutrition!$B116&gt;300,"Tinggi Kalori",IF(nutrition!$B116&gt;100,"Kalori Sedang","Rendah Kalori"))</f>
        <v>Tinggi Kalori</v>
      </c>
      <c r="H116" s="23" t="s">
        <v>120</v>
      </c>
    </row>
    <row r="117" spans="1:8" x14ac:dyDescent="0.3">
      <c r="A117" s="25">
        <v>116</v>
      </c>
      <c r="B117" s="26">
        <v>181</v>
      </c>
      <c r="C117" s="26">
        <v>4</v>
      </c>
      <c r="D117" s="26">
        <v>12</v>
      </c>
      <c r="E117" s="26">
        <v>373</v>
      </c>
      <c r="F117" s="28" t="str">
        <f>PROPER(nutrition!$H117)</f>
        <v>Beras Ketan Hitam Kukus</v>
      </c>
      <c r="G117" s="26" t="str">
        <f>IF(nutrition!$B117&gt;300,"Tinggi Kalori",IF(nutrition!$B117&gt;100,"Kalori Sedang","Rendah Kalori"))</f>
        <v>Kalori Sedang</v>
      </c>
      <c r="H117" s="27" t="s">
        <v>121</v>
      </c>
    </row>
    <row r="118" spans="1:8" x14ac:dyDescent="0.3">
      <c r="A118" s="21">
        <v>117</v>
      </c>
      <c r="B118" s="22">
        <v>166</v>
      </c>
      <c r="C118" s="22">
        <v>38</v>
      </c>
      <c r="D118" s="22">
        <v>1</v>
      </c>
      <c r="E118" s="22">
        <v>344</v>
      </c>
      <c r="F118" s="24" t="str">
        <f>PROPER(nutrition!$H118)</f>
        <v>Beras Ketan Hitam Tape</v>
      </c>
      <c r="G118" s="22" t="str">
        <f>IF(nutrition!$B118&gt;300,"Tinggi Kalori",IF(nutrition!$B118&gt;100,"Kalori Sedang","Rendah Kalori"))</f>
        <v>Kalori Sedang</v>
      </c>
      <c r="H118" s="23" t="s">
        <v>122</v>
      </c>
    </row>
    <row r="119" spans="1:8" x14ac:dyDescent="0.3">
      <c r="A119" s="25">
        <v>118</v>
      </c>
      <c r="B119" s="26">
        <v>360</v>
      </c>
      <c r="C119" s="26">
        <v>8</v>
      </c>
      <c r="D119" s="26">
        <v>23</v>
      </c>
      <c r="E119" s="26">
        <v>745</v>
      </c>
      <c r="F119" s="28" t="str">
        <f>PROPER(nutrition!$H119)</f>
        <v>Beras Ketan Hitam Tumbuk</v>
      </c>
      <c r="G119" s="26" t="str">
        <f>IF(nutrition!$B119&gt;300,"Tinggi Kalori",IF(nutrition!$B119&gt;100,"Kalori Sedang","Rendah Kalori"))</f>
        <v>Tinggi Kalori</v>
      </c>
      <c r="H119" s="27" t="s">
        <v>123</v>
      </c>
    </row>
    <row r="120" spans="1:8" x14ac:dyDescent="0.3">
      <c r="A120" s="21">
        <v>119</v>
      </c>
      <c r="B120" s="22">
        <v>360</v>
      </c>
      <c r="C120" s="22">
        <v>8</v>
      </c>
      <c r="D120" s="22">
        <v>23</v>
      </c>
      <c r="E120" s="22">
        <v>745</v>
      </c>
      <c r="F120" s="24" t="str">
        <f>PROPER(nutrition!$H120)</f>
        <v>Beras Ketan Hitam Tumbuk Mentah</v>
      </c>
      <c r="G120" s="22" t="str">
        <f>IF(nutrition!$B120&gt;300,"Tinggi Kalori",IF(nutrition!$B120&gt;100,"Kalori Sedang","Rendah Kalori"))</f>
        <v>Tinggi Kalori</v>
      </c>
      <c r="H120" s="23" t="s">
        <v>124</v>
      </c>
    </row>
    <row r="121" spans="1:8" x14ac:dyDescent="0.3">
      <c r="A121" s="25">
        <v>120</v>
      </c>
      <c r="B121" s="26">
        <v>362</v>
      </c>
      <c r="C121" s="26">
        <v>67</v>
      </c>
      <c r="D121" s="26">
        <v>7</v>
      </c>
      <c r="E121" s="26">
        <v>794</v>
      </c>
      <c r="F121" s="28" t="str">
        <f>PROPER(nutrition!$H121)</f>
        <v>Beras Ketan Putih</v>
      </c>
      <c r="G121" s="26" t="str">
        <f>IF(nutrition!$B121&gt;300,"Tinggi Kalori",IF(nutrition!$B121&gt;100,"Kalori Sedang","Rendah Kalori"))</f>
        <v>Tinggi Kalori</v>
      </c>
      <c r="H121" s="27" t="s">
        <v>125</v>
      </c>
    </row>
    <row r="122" spans="1:8" x14ac:dyDescent="0.3">
      <c r="A122" s="21">
        <v>121</v>
      </c>
      <c r="B122" s="22">
        <v>163</v>
      </c>
      <c r="C122" s="22">
        <v>3</v>
      </c>
      <c r="D122" s="22">
        <v>4</v>
      </c>
      <c r="E122" s="22">
        <v>357</v>
      </c>
      <c r="F122" s="24" t="str">
        <f>PROPER(nutrition!$H122)</f>
        <v>Beras Ketan Putih Kukus</v>
      </c>
      <c r="G122" s="22" t="str">
        <f>IF(nutrition!$B122&gt;300,"Tinggi Kalori",IF(nutrition!$B122&gt;100,"Kalori Sedang","Rendah Kalori"))</f>
        <v>Kalori Sedang</v>
      </c>
      <c r="H122" s="23" t="s">
        <v>126</v>
      </c>
    </row>
    <row r="123" spans="1:8" x14ac:dyDescent="0.3">
      <c r="A123" s="25">
        <v>122</v>
      </c>
      <c r="B123" s="26">
        <v>172</v>
      </c>
      <c r="C123" s="26">
        <v>3</v>
      </c>
      <c r="D123" s="26">
        <v>5</v>
      </c>
      <c r="E123" s="26">
        <v>375</v>
      </c>
      <c r="F123" s="28" t="str">
        <f>PROPER(nutrition!$H123)</f>
        <v>Beras Ketan Putih Tape</v>
      </c>
      <c r="G123" s="26" t="str">
        <f>IF(nutrition!$B123&gt;300,"Tinggi Kalori",IF(nutrition!$B123&gt;100,"Kalori Sedang","Rendah Kalori"))</f>
        <v>Kalori Sedang</v>
      </c>
      <c r="H123" s="27" t="s">
        <v>127</v>
      </c>
    </row>
    <row r="124" spans="1:8" x14ac:dyDescent="0.3">
      <c r="A124" s="21">
        <v>123</v>
      </c>
      <c r="B124" s="22">
        <v>361</v>
      </c>
      <c r="C124" s="22">
        <v>74</v>
      </c>
      <c r="D124" s="22">
        <v>8</v>
      </c>
      <c r="E124" s="22">
        <v>784</v>
      </c>
      <c r="F124" s="24" t="str">
        <f>PROPER(nutrition!$H124)</f>
        <v>Beras Ketan Putih Tumbuk</v>
      </c>
      <c r="G124" s="22" t="str">
        <f>IF(nutrition!$B124&gt;300,"Tinggi Kalori",IF(nutrition!$B124&gt;100,"Kalori Sedang","Rendah Kalori"))</f>
        <v>Tinggi Kalori</v>
      </c>
      <c r="H124" s="23" t="s">
        <v>128</v>
      </c>
    </row>
    <row r="125" spans="1:8" x14ac:dyDescent="0.3">
      <c r="A125" s="25">
        <v>124</v>
      </c>
      <c r="B125" s="26">
        <v>361</v>
      </c>
      <c r="C125" s="26">
        <v>74</v>
      </c>
      <c r="D125" s="26">
        <v>8</v>
      </c>
      <c r="E125" s="26">
        <v>784</v>
      </c>
      <c r="F125" s="28" t="str">
        <f>PROPER(nutrition!$H125)</f>
        <v>Beras Ketan Putih Tumbuk Mentah</v>
      </c>
      <c r="G125" s="26" t="str">
        <f>IF(nutrition!$B125&gt;300,"Tinggi Kalori",IF(nutrition!$B125&gt;100,"Kalori Sedang","Rendah Kalori"))</f>
        <v>Tinggi Kalori</v>
      </c>
      <c r="H125" s="27" t="s">
        <v>129</v>
      </c>
    </row>
    <row r="126" spans="1:8" x14ac:dyDescent="0.3">
      <c r="A126" s="21">
        <v>125</v>
      </c>
      <c r="B126" s="22">
        <v>376</v>
      </c>
      <c r="C126" s="22">
        <v>75</v>
      </c>
      <c r="D126" s="22">
        <v>38</v>
      </c>
      <c r="E126" s="22">
        <v>78</v>
      </c>
      <c r="F126" s="24" t="str">
        <f>PROPER(nutrition!$H126)</f>
        <v>Beras Ladang Mentah</v>
      </c>
      <c r="G126" s="22" t="str">
        <f>IF(nutrition!$B126&gt;300,"Tinggi Kalori",IF(nutrition!$B126&gt;100,"Kalori Sedang","Rendah Kalori"))</f>
        <v>Tinggi Kalori</v>
      </c>
      <c r="H126" s="23" t="s">
        <v>130</v>
      </c>
    </row>
    <row r="127" spans="1:8" x14ac:dyDescent="0.3">
      <c r="A127" s="25">
        <v>126</v>
      </c>
      <c r="B127" s="26">
        <v>339</v>
      </c>
      <c r="C127" s="26">
        <v>77</v>
      </c>
      <c r="D127" s="26">
        <v>44</v>
      </c>
      <c r="E127" s="26">
        <v>73</v>
      </c>
      <c r="F127" s="28" t="str">
        <f>PROPER(nutrition!$H127)</f>
        <v>Beras Menir</v>
      </c>
      <c r="G127" s="26" t="str">
        <f>IF(nutrition!$B127&gt;300,"Tinggi Kalori",IF(nutrition!$B127&gt;100,"Kalori Sedang","Rendah Kalori"))</f>
        <v>Tinggi Kalori</v>
      </c>
      <c r="H127" s="27" t="s">
        <v>131</v>
      </c>
    </row>
    <row r="128" spans="1:8" x14ac:dyDescent="0.3">
      <c r="A128" s="21">
        <v>127</v>
      </c>
      <c r="B128" s="22">
        <v>362</v>
      </c>
      <c r="C128" s="22">
        <v>77</v>
      </c>
      <c r="D128" s="22">
        <v>44</v>
      </c>
      <c r="E128" s="22">
        <v>73</v>
      </c>
      <c r="F128" s="24" t="str">
        <f>PROPER(nutrition!$H128)</f>
        <v>Beras Menir Mentah</v>
      </c>
      <c r="G128" s="22" t="str">
        <f>IF(nutrition!$B128&gt;300,"Tinggi Kalori",IF(nutrition!$B128&gt;100,"Kalori Sedang","Rendah Kalori"))</f>
        <v>Tinggi Kalori</v>
      </c>
      <c r="H128" s="23" t="s">
        <v>132</v>
      </c>
    </row>
    <row r="129" spans="1:8" x14ac:dyDescent="0.3">
      <c r="A129" s="25">
        <v>128</v>
      </c>
      <c r="B129" s="26">
        <v>359</v>
      </c>
      <c r="C129" s="26">
        <v>75</v>
      </c>
      <c r="D129" s="26">
        <v>9</v>
      </c>
      <c r="E129" s="26">
        <v>776</v>
      </c>
      <c r="F129" s="28" t="str">
        <f>PROPER(nutrition!$H129)</f>
        <v>Beras Merah Tumbuk</v>
      </c>
      <c r="G129" s="26" t="str">
        <f>IF(nutrition!$B129&gt;300,"Tinggi Kalori",IF(nutrition!$B129&gt;100,"Kalori Sedang","Rendah Kalori"))</f>
        <v>Tinggi Kalori</v>
      </c>
      <c r="H129" s="27" t="s">
        <v>133</v>
      </c>
    </row>
    <row r="130" spans="1:8" x14ac:dyDescent="0.3">
      <c r="A130" s="21">
        <v>129</v>
      </c>
      <c r="B130" s="22">
        <v>364</v>
      </c>
      <c r="C130" s="22">
        <v>68</v>
      </c>
      <c r="D130" s="22">
        <v>6</v>
      </c>
      <c r="E130" s="22">
        <v>801</v>
      </c>
      <c r="F130" s="24" t="str">
        <f>PROPER(nutrition!$H130)</f>
        <v>Beras Parboiled</v>
      </c>
      <c r="G130" s="22" t="str">
        <f>IF(nutrition!$B130&gt;300,"Tinggi Kalori",IF(nutrition!$B130&gt;100,"Kalori Sedang","Rendah Kalori"))</f>
        <v>Tinggi Kalori</v>
      </c>
      <c r="H130" s="23" t="s">
        <v>134</v>
      </c>
    </row>
    <row r="131" spans="1:8" x14ac:dyDescent="0.3">
      <c r="A131" s="25">
        <v>130</v>
      </c>
      <c r="B131" s="26">
        <v>353</v>
      </c>
      <c r="C131" s="26">
        <v>68</v>
      </c>
      <c r="D131" s="26">
        <v>6</v>
      </c>
      <c r="E131" s="26">
        <v>80</v>
      </c>
      <c r="F131" s="28" t="str">
        <f>PROPER(nutrition!$H131)</f>
        <v>Beras Parboiled</v>
      </c>
      <c r="G131" s="26" t="str">
        <f>IF(nutrition!$B131&gt;300,"Tinggi Kalori",IF(nutrition!$B131&gt;100,"Kalori Sedang","Rendah Kalori"))</f>
        <v>Tinggi Kalori</v>
      </c>
      <c r="H131" s="27" t="s">
        <v>135</v>
      </c>
    </row>
    <row r="132" spans="1:8" x14ac:dyDescent="0.3">
      <c r="A132" s="21">
        <v>131</v>
      </c>
      <c r="B132" s="22">
        <v>335</v>
      </c>
      <c r="C132" s="22">
        <v>74</v>
      </c>
      <c r="D132" s="22">
        <v>19</v>
      </c>
      <c r="E132" s="22">
        <v>762</v>
      </c>
      <c r="F132" s="24" t="str">
        <f>PROPER(nutrition!$H132)</f>
        <v>Beras Pecah Kulit</v>
      </c>
      <c r="G132" s="22" t="str">
        <f>IF(nutrition!$B132&gt;300,"Tinggi Kalori",IF(nutrition!$B132&gt;100,"Kalori Sedang","Rendah Kalori"))</f>
        <v>Tinggi Kalori</v>
      </c>
      <c r="H132" s="23" t="s">
        <v>136</v>
      </c>
    </row>
    <row r="133" spans="1:8" x14ac:dyDescent="0.3">
      <c r="A133" s="25">
        <v>132</v>
      </c>
      <c r="B133" s="26">
        <v>363</v>
      </c>
      <c r="C133" s="26">
        <v>76</v>
      </c>
      <c r="D133" s="26">
        <v>11</v>
      </c>
      <c r="E133" s="26">
        <v>783</v>
      </c>
      <c r="F133" s="28" t="str">
        <f>PROPER(nutrition!$H133)</f>
        <v>Beras Setengah Giling</v>
      </c>
      <c r="G133" s="26" t="str">
        <f>IF(nutrition!$B133&gt;300,"Tinggi Kalori",IF(nutrition!$B133&gt;100,"Kalori Sedang","Rendah Kalori"))</f>
        <v>Tinggi Kalori</v>
      </c>
      <c r="H133" s="27" t="s">
        <v>137</v>
      </c>
    </row>
    <row r="134" spans="1:8" x14ac:dyDescent="0.3">
      <c r="A134" s="21">
        <v>133</v>
      </c>
      <c r="B134" s="22">
        <v>344</v>
      </c>
      <c r="C134" s="22">
        <v>11</v>
      </c>
      <c r="D134" s="22">
        <v>2</v>
      </c>
      <c r="E134" s="22">
        <v>283</v>
      </c>
      <c r="F134" s="24" t="str">
        <f>PROPER(nutrition!$H134)</f>
        <v>Beras Siger</v>
      </c>
      <c r="G134" s="22" t="str">
        <f>IF(nutrition!$B134&gt;300,"Tinggi Kalori",IF(nutrition!$B134&gt;100,"Kalori Sedang","Rendah Kalori"))</f>
        <v>Tinggi Kalori</v>
      </c>
      <c r="H134" s="23" t="s">
        <v>138</v>
      </c>
    </row>
    <row r="135" spans="1:8" x14ac:dyDescent="0.3">
      <c r="A135" s="25">
        <v>134</v>
      </c>
      <c r="B135" s="26">
        <v>354</v>
      </c>
      <c r="C135" s="26">
        <v>78</v>
      </c>
      <c r="D135" s="26">
        <v>4</v>
      </c>
      <c r="E135" s="26">
        <v>799</v>
      </c>
      <c r="F135" s="28" t="str">
        <f>PROPER(nutrition!$H135)</f>
        <v>Beras Tumbuk Mentah</v>
      </c>
      <c r="G135" s="26" t="str">
        <f>IF(nutrition!$B135&gt;300,"Tinggi Kalori",IF(nutrition!$B135&gt;100,"Kalori Sedang","Rendah Kalori"))</f>
        <v>Tinggi Kalori</v>
      </c>
      <c r="H135" s="27" t="s">
        <v>139</v>
      </c>
    </row>
    <row r="136" spans="1:8" x14ac:dyDescent="0.3">
      <c r="A136" s="21">
        <v>135</v>
      </c>
      <c r="B136" s="22">
        <v>352</v>
      </c>
      <c r="C136" s="22">
        <v>73</v>
      </c>
      <c r="D136" s="22">
        <v>9</v>
      </c>
      <c r="E136" s="22">
        <v>762</v>
      </c>
      <c r="F136" s="24" t="str">
        <f>PROPER(nutrition!$H136)</f>
        <v>Beras Tumbuk Merah Mentah</v>
      </c>
      <c r="G136" s="22" t="str">
        <f>IF(nutrition!$B136&gt;300,"Tinggi Kalori",IF(nutrition!$B136&gt;100,"Kalori Sedang","Rendah Kalori"))</f>
        <v>Tinggi Kalori</v>
      </c>
      <c r="H136" s="23" t="s">
        <v>140</v>
      </c>
    </row>
    <row r="137" spans="1:8" x14ac:dyDescent="0.3">
      <c r="A137" s="25">
        <v>136</v>
      </c>
      <c r="B137" s="26">
        <v>145</v>
      </c>
      <c r="C137" s="26">
        <v>163</v>
      </c>
      <c r="D137" s="26">
        <v>7</v>
      </c>
      <c r="E137" s="26">
        <v>41</v>
      </c>
      <c r="F137" s="28" t="str">
        <f>PROPER(nutrition!$H137)</f>
        <v>Betok Wadi Masakan</v>
      </c>
      <c r="G137" s="26" t="str">
        <f>IF(nutrition!$B137&gt;300,"Tinggi Kalori",IF(nutrition!$B137&gt;100,"Kalori Sedang","Rendah Kalori"))</f>
        <v>Kalori Sedang</v>
      </c>
      <c r="H137" s="27" t="s">
        <v>141</v>
      </c>
    </row>
    <row r="138" spans="1:8" x14ac:dyDescent="0.3">
      <c r="A138" s="21">
        <v>137</v>
      </c>
      <c r="B138" s="22">
        <v>360</v>
      </c>
      <c r="C138" s="22">
        <v>47</v>
      </c>
      <c r="D138" s="22">
        <v>1</v>
      </c>
      <c r="E138" s="22">
        <v>821</v>
      </c>
      <c r="F138" s="24" t="str">
        <f>PROPER(nutrition!$H138)</f>
        <v>Bihun</v>
      </c>
      <c r="G138" s="22" t="str">
        <f>IF(nutrition!$B138&gt;300,"Tinggi Kalori",IF(nutrition!$B138&gt;100,"Kalori Sedang","Rendah Kalori"))</f>
        <v>Tinggi Kalori</v>
      </c>
      <c r="H138" s="23" t="s">
        <v>142</v>
      </c>
    </row>
    <row r="139" spans="1:8" x14ac:dyDescent="0.3">
      <c r="A139" s="25">
        <v>138</v>
      </c>
      <c r="B139" s="26">
        <v>154</v>
      </c>
      <c r="C139" s="26">
        <v>3</v>
      </c>
      <c r="D139" s="26">
        <v>45</v>
      </c>
      <c r="E139" s="26">
        <v>255</v>
      </c>
      <c r="F139" s="28" t="str">
        <f>PROPER(nutrition!$H139)</f>
        <v xml:space="preserve">Bihun Goreng </v>
      </c>
      <c r="G139" s="26" t="str">
        <f>IF(nutrition!$B139&gt;300,"Tinggi Kalori",IF(nutrition!$B139&gt;100,"Kalori Sedang","Rendah Kalori"))</f>
        <v>Kalori Sedang</v>
      </c>
      <c r="H139" s="27" t="s">
        <v>143</v>
      </c>
    </row>
    <row r="140" spans="1:8" x14ac:dyDescent="0.3">
      <c r="A140" s="21">
        <v>139</v>
      </c>
      <c r="B140" s="22">
        <v>381</v>
      </c>
      <c r="C140" s="22">
        <v>61</v>
      </c>
      <c r="D140" s="22">
        <v>39</v>
      </c>
      <c r="E140" s="22">
        <v>803</v>
      </c>
      <c r="F140" s="24" t="str">
        <f>PROPER(nutrition!$H140)</f>
        <v>Bihun Goreng Instan</v>
      </c>
      <c r="G140" s="22" t="str">
        <f>IF(nutrition!$B140&gt;300,"Tinggi Kalori",IF(nutrition!$B140&gt;100,"Kalori Sedang","Rendah Kalori"))</f>
        <v>Tinggi Kalori</v>
      </c>
      <c r="H140" s="23" t="s">
        <v>144</v>
      </c>
    </row>
    <row r="141" spans="1:8" x14ac:dyDescent="0.3">
      <c r="A141" s="25">
        <v>140</v>
      </c>
      <c r="B141" s="26">
        <v>354</v>
      </c>
      <c r="C141" s="26">
        <v>5</v>
      </c>
      <c r="D141" s="26">
        <v>3</v>
      </c>
      <c r="E141" s="26">
        <v>874</v>
      </c>
      <c r="F141" s="28" t="str">
        <f>PROPER(nutrition!$H141)</f>
        <v>Bihun Jagung Mentah</v>
      </c>
      <c r="G141" s="26" t="str">
        <f>IF(nutrition!$B141&gt;300,"Tinggi Kalori",IF(nutrition!$B141&gt;100,"Kalori Sedang","Rendah Kalori"))</f>
        <v>Tinggi Kalori</v>
      </c>
      <c r="H141" s="27" t="s">
        <v>145</v>
      </c>
    </row>
    <row r="142" spans="1:8" x14ac:dyDescent="0.3">
      <c r="A142" s="21">
        <v>141</v>
      </c>
      <c r="B142" s="22">
        <v>348</v>
      </c>
      <c r="C142" s="22">
        <v>47</v>
      </c>
      <c r="D142" s="22">
        <v>1</v>
      </c>
      <c r="E142" s="22">
        <v>821</v>
      </c>
      <c r="F142" s="24" t="str">
        <f>PROPER(nutrition!$H142)</f>
        <v>Bihun Mentah</v>
      </c>
      <c r="G142" s="22" t="str">
        <f>IF(nutrition!$B142&gt;300,"Tinggi Kalori",IF(nutrition!$B142&gt;100,"Kalori Sedang","Rendah Kalori"))</f>
        <v>Tinggi Kalori</v>
      </c>
      <c r="H142" s="23" t="s">
        <v>146</v>
      </c>
    </row>
    <row r="143" spans="1:8" x14ac:dyDescent="0.3">
      <c r="A143" s="25">
        <v>142</v>
      </c>
      <c r="B143" s="26">
        <v>562</v>
      </c>
      <c r="C143" s="26">
        <v>212</v>
      </c>
      <c r="D143" s="26">
        <v>496</v>
      </c>
      <c r="E143" s="26">
        <v>236</v>
      </c>
      <c r="F143" s="28" t="str">
        <f>PROPER(nutrition!$H143)</f>
        <v>Biji Jambu Mete</v>
      </c>
      <c r="G143" s="26" t="str">
        <f>IF(nutrition!$B143&gt;300,"Tinggi Kalori",IF(nutrition!$B143&gt;100,"Kalori Sedang","Rendah Kalori"))</f>
        <v>Tinggi Kalori</v>
      </c>
      <c r="H143" s="27" t="s">
        <v>147</v>
      </c>
    </row>
    <row r="144" spans="1:8" x14ac:dyDescent="0.3">
      <c r="A144" s="21">
        <v>143</v>
      </c>
      <c r="B144" s="22">
        <v>629</v>
      </c>
      <c r="C144" s="22">
        <v>215</v>
      </c>
      <c r="D144" s="22">
        <v>566</v>
      </c>
      <c r="E144" s="22">
        <v>198</v>
      </c>
      <c r="F144" s="24" t="str">
        <f>PROPER(nutrition!$H144)</f>
        <v>Biji Jambu Mete Goreng</v>
      </c>
      <c r="G144" s="22" t="str">
        <f>IF(nutrition!$B144&gt;300,"Tinggi Kalori",IF(nutrition!$B144&gt;100,"Kalori Sedang","Rendah Kalori"))</f>
        <v>Tinggi Kalori</v>
      </c>
      <c r="H144" s="23" t="s">
        <v>148</v>
      </c>
    </row>
    <row r="145" spans="1:8" x14ac:dyDescent="0.3">
      <c r="A145" s="25">
        <v>144</v>
      </c>
      <c r="B145" s="26">
        <v>262</v>
      </c>
      <c r="C145" s="26">
        <v>23</v>
      </c>
      <c r="D145" s="26">
        <v>54</v>
      </c>
      <c r="E145" s="26">
        <v>511</v>
      </c>
      <c r="F145" s="28" t="str">
        <f>PROPER(nutrition!$H145)</f>
        <v>Biji Nangka/Biji Salak</v>
      </c>
      <c r="G145" s="26" t="str">
        <f>IF(nutrition!$B145&gt;300,"Tinggi Kalori",IF(nutrition!$B145&gt;100,"Kalori Sedang","Rendah Kalori"))</f>
        <v>Kalori Sedang</v>
      </c>
      <c r="H145" s="27" t="s">
        <v>149</v>
      </c>
    </row>
    <row r="146" spans="1:8" x14ac:dyDescent="0.3">
      <c r="A146" s="21">
        <v>145</v>
      </c>
      <c r="B146" s="22">
        <v>199</v>
      </c>
      <c r="C146" s="22">
        <v>21</v>
      </c>
      <c r="D146" s="22">
        <v>15</v>
      </c>
      <c r="E146" s="22">
        <v>444</v>
      </c>
      <c r="F146" s="24" t="str">
        <f>PROPER(nutrition!$H146)</f>
        <v>Bika Ambon</v>
      </c>
      <c r="G146" s="22" t="str">
        <f>IF(nutrition!$B146&gt;300,"Tinggi Kalori",IF(nutrition!$B146&gt;100,"Kalori Sedang","Rendah Kalori"))</f>
        <v>Kalori Sedang</v>
      </c>
      <c r="H146" s="23" t="s">
        <v>150</v>
      </c>
    </row>
    <row r="147" spans="1:8" x14ac:dyDescent="0.3">
      <c r="A147" s="25">
        <v>146</v>
      </c>
      <c r="B147" s="26">
        <v>2257</v>
      </c>
      <c r="C147" s="26">
        <v>3</v>
      </c>
      <c r="D147" s="26">
        <v>3</v>
      </c>
      <c r="E147" s="26">
        <v>529</v>
      </c>
      <c r="F147" s="28" t="str">
        <f>PROPER(nutrition!$H147)</f>
        <v xml:space="preserve">Bika Ambon </v>
      </c>
      <c r="G147" s="26" t="str">
        <f>IF(nutrition!$B147&gt;300,"Tinggi Kalori",IF(nutrition!$B147&gt;100,"Kalori Sedang","Rendah Kalori"))</f>
        <v>Tinggi Kalori</v>
      </c>
      <c r="H147" s="27" t="s">
        <v>151</v>
      </c>
    </row>
    <row r="148" spans="1:8" x14ac:dyDescent="0.3">
      <c r="A148" s="21">
        <v>147</v>
      </c>
      <c r="B148" s="22">
        <v>48</v>
      </c>
      <c r="C148" s="22">
        <v>6</v>
      </c>
      <c r="D148" s="22">
        <v>0</v>
      </c>
      <c r="E148" s="22">
        <v>44</v>
      </c>
      <c r="F148" s="24" t="str">
        <f>PROPER(nutrition!$H148)</f>
        <v>Bir (4% Alkohol)</v>
      </c>
      <c r="G148" s="22" t="str">
        <f>IF(nutrition!$B148&gt;300,"Tinggi Kalori",IF(nutrition!$B148&gt;100,"Kalori Sedang","Rendah Kalori"))</f>
        <v>Rendah Kalori</v>
      </c>
      <c r="H148" s="23" t="s">
        <v>152</v>
      </c>
    </row>
    <row r="149" spans="1:8" x14ac:dyDescent="0.3">
      <c r="A149" s="25">
        <v>148</v>
      </c>
      <c r="B149" s="26">
        <v>458</v>
      </c>
      <c r="C149" s="26">
        <v>69</v>
      </c>
      <c r="D149" s="26">
        <v>144</v>
      </c>
      <c r="E149" s="26">
        <v>751</v>
      </c>
      <c r="F149" s="28" t="str">
        <f>PROPER(nutrition!$H149)</f>
        <v>Biskuit</v>
      </c>
      <c r="G149" s="26" t="str">
        <f>IF(nutrition!$B149&gt;300,"Tinggi Kalori",IF(nutrition!$B149&gt;100,"Kalori Sedang","Rendah Kalori"))</f>
        <v>Tinggi Kalori</v>
      </c>
      <c r="H149" s="27" t="s">
        <v>153</v>
      </c>
    </row>
    <row r="150" spans="1:8" x14ac:dyDescent="0.3">
      <c r="A150" s="21">
        <v>149</v>
      </c>
      <c r="B150" s="22">
        <v>42</v>
      </c>
      <c r="C150" s="22">
        <v>16</v>
      </c>
      <c r="D150" s="22">
        <v>1</v>
      </c>
      <c r="E150" s="22">
        <v>96</v>
      </c>
      <c r="F150" s="24" t="str">
        <f>PROPER(nutrition!$H150)</f>
        <v>Bit</v>
      </c>
      <c r="G150" s="22" t="str">
        <f>IF(nutrition!$B150&gt;300,"Tinggi Kalori",IF(nutrition!$B150&gt;100,"Kalori Sedang","Rendah Kalori"))</f>
        <v>Rendah Kalori</v>
      </c>
      <c r="H150" s="23" t="s">
        <v>154</v>
      </c>
    </row>
    <row r="151" spans="1:8" x14ac:dyDescent="0.3">
      <c r="A151" s="25">
        <v>150</v>
      </c>
      <c r="B151" s="26">
        <v>51</v>
      </c>
      <c r="C151" s="26">
        <v>3</v>
      </c>
      <c r="D151" s="26">
        <v>1</v>
      </c>
      <c r="E151" s="26">
        <v>121</v>
      </c>
      <c r="F151" s="28" t="str">
        <f>PROPER(nutrition!$H151)</f>
        <v>Biwah Segar</v>
      </c>
      <c r="G151" s="26" t="str">
        <f>IF(nutrition!$B151&gt;300,"Tinggi Kalori",IF(nutrition!$B151&gt;100,"Kalori Sedang","Rendah Kalori"))</f>
        <v>Rendah Kalori</v>
      </c>
      <c r="H151" s="27" t="s">
        <v>155</v>
      </c>
    </row>
    <row r="152" spans="1:8" x14ac:dyDescent="0.3">
      <c r="A152" s="21">
        <v>151</v>
      </c>
      <c r="B152" s="22">
        <v>43</v>
      </c>
      <c r="C152" s="22">
        <v>26</v>
      </c>
      <c r="D152" s="22">
        <v>0</v>
      </c>
      <c r="E152" s="22">
        <v>116</v>
      </c>
      <c r="F152" s="24" t="str">
        <f>PROPER(nutrition!$H152)</f>
        <v>Bonggol Pisang</v>
      </c>
      <c r="G152" s="22" t="str">
        <f>IF(nutrition!$B152&gt;300,"Tinggi Kalori",IF(nutrition!$B152&gt;100,"Kalori Sedang","Rendah Kalori"))</f>
        <v>Rendah Kalori</v>
      </c>
      <c r="H152" s="23" t="s">
        <v>156</v>
      </c>
    </row>
    <row r="153" spans="1:8" x14ac:dyDescent="0.3">
      <c r="A153" s="25">
        <v>152</v>
      </c>
      <c r="B153" s="26">
        <v>245</v>
      </c>
      <c r="C153" s="26">
        <v>34</v>
      </c>
      <c r="D153" s="26">
        <v>0</v>
      </c>
      <c r="E153" s="26">
        <v>662</v>
      </c>
      <c r="F153" s="28" t="str">
        <f>PROPER(nutrition!$H153)</f>
        <v>Bonggol Pisang Kering</v>
      </c>
      <c r="G153" s="26" t="str">
        <f>IF(nutrition!$B153&gt;300,"Tinggi Kalori",IF(nutrition!$B153&gt;100,"Kalori Sedang","Rendah Kalori"))</f>
        <v>Kalori Sedang</v>
      </c>
      <c r="H153" s="27" t="s">
        <v>157</v>
      </c>
    </row>
    <row r="154" spans="1:8" x14ac:dyDescent="0.3">
      <c r="A154" s="21">
        <v>153</v>
      </c>
      <c r="B154" s="22">
        <v>119</v>
      </c>
      <c r="C154" s="22">
        <v>44</v>
      </c>
      <c r="D154" s="22">
        <v>35</v>
      </c>
      <c r="E154" s="22">
        <v>183</v>
      </c>
      <c r="F154" s="24" t="str">
        <f>PROPER(nutrition!$H154)</f>
        <v>Bongkrek (Tempe Bungkil)</v>
      </c>
      <c r="G154" s="22" t="str">
        <f>IF(nutrition!$B154&gt;300,"Tinggi Kalori",IF(nutrition!$B154&gt;100,"Kalori Sedang","Rendah Kalori"))</f>
        <v>Kalori Sedang</v>
      </c>
      <c r="H154" s="23" t="s">
        <v>158</v>
      </c>
    </row>
    <row r="155" spans="1:8" x14ac:dyDescent="0.3">
      <c r="A155" s="25">
        <v>154</v>
      </c>
      <c r="B155" s="26">
        <v>23</v>
      </c>
      <c r="C155" s="26">
        <v>1</v>
      </c>
      <c r="D155" s="26">
        <v>8</v>
      </c>
      <c r="E155" s="26">
        <v>72</v>
      </c>
      <c r="F155" s="28" t="str">
        <f>PROPER(nutrition!$H155)</f>
        <v>Boros Kunci</v>
      </c>
      <c r="G155" s="26" t="str">
        <f>IF(nutrition!$B155&gt;300,"Tinggi Kalori",IF(nutrition!$B155&gt;100,"Kalori Sedang","Rendah Kalori"))</f>
        <v>Rendah Kalori</v>
      </c>
      <c r="H155" s="27" t="s">
        <v>159</v>
      </c>
    </row>
    <row r="156" spans="1:8" x14ac:dyDescent="0.3">
      <c r="A156" s="21">
        <v>155</v>
      </c>
      <c r="B156" s="22">
        <v>22</v>
      </c>
      <c r="C156" s="22">
        <v>1</v>
      </c>
      <c r="D156" s="22">
        <v>3</v>
      </c>
      <c r="E156" s="22">
        <v>47</v>
      </c>
      <c r="F156" s="24" t="str">
        <f>PROPER(nutrition!$H156)</f>
        <v>Boros Laja (Lengkuas)</v>
      </c>
      <c r="G156" s="22" t="str">
        <f>IF(nutrition!$B156&gt;300,"Tinggi Kalori",IF(nutrition!$B156&gt;100,"Kalori Sedang","Rendah Kalori"))</f>
        <v>Rendah Kalori</v>
      </c>
      <c r="H156" s="23" t="s">
        <v>160</v>
      </c>
    </row>
    <row r="157" spans="1:8" x14ac:dyDescent="0.3">
      <c r="A157" s="25">
        <v>156</v>
      </c>
      <c r="B157" s="26">
        <v>186</v>
      </c>
      <c r="C157" s="26">
        <v>117</v>
      </c>
      <c r="D157" s="26">
        <v>97</v>
      </c>
      <c r="E157" s="26">
        <v>13</v>
      </c>
      <c r="F157" s="28" t="str">
        <f>PROPER(nutrition!$H157)</f>
        <v>Botok Lamtoro</v>
      </c>
      <c r="G157" s="26" t="str">
        <f>IF(nutrition!$B157&gt;300,"Tinggi Kalori",IF(nutrition!$B157&gt;100,"Kalori Sedang","Rendah Kalori"))</f>
        <v>Kalori Sedang</v>
      </c>
      <c r="H157" s="27" t="s">
        <v>161</v>
      </c>
    </row>
    <row r="158" spans="1:8" x14ac:dyDescent="0.3">
      <c r="A158" s="21">
        <v>157</v>
      </c>
      <c r="B158" s="22">
        <v>249</v>
      </c>
      <c r="C158" s="22">
        <v>34</v>
      </c>
      <c r="D158" s="22">
        <v>4</v>
      </c>
      <c r="E158" s="22">
        <v>58</v>
      </c>
      <c r="F158" s="24" t="str">
        <f>PROPER(nutrition!$H158)</f>
        <v>Brem</v>
      </c>
      <c r="G158" s="22" t="str">
        <f>IF(nutrition!$B158&gt;300,"Tinggi Kalori",IF(nutrition!$B158&gt;100,"Kalori Sedang","Rendah Kalori"))</f>
        <v>Kalori Sedang</v>
      </c>
      <c r="H158" s="23" t="s">
        <v>162</v>
      </c>
    </row>
    <row r="159" spans="1:8" x14ac:dyDescent="0.3">
      <c r="A159" s="25">
        <v>158</v>
      </c>
      <c r="B159" s="26">
        <v>400</v>
      </c>
      <c r="C159" s="26">
        <v>4</v>
      </c>
      <c r="D159" s="26">
        <v>7</v>
      </c>
      <c r="E159" s="26">
        <v>953</v>
      </c>
      <c r="F159" s="28" t="str">
        <f>PROPER(nutrition!$H159)</f>
        <v xml:space="preserve">Brondong </v>
      </c>
      <c r="G159" s="26" t="str">
        <f>IF(nutrition!$B159&gt;300,"Tinggi Kalori",IF(nutrition!$B159&gt;100,"Kalori Sedang","Rendah Kalori"))</f>
        <v>Tinggi Kalori</v>
      </c>
      <c r="H159" s="27" t="s">
        <v>163</v>
      </c>
    </row>
    <row r="160" spans="1:8" x14ac:dyDescent="0.3">
      <c r="A160" s="21">
        <v>159</v>
      </c>
      <c r="B160" s="22">
        <v>141</v>
      </c>
      <c r="C160" s="22">
        <v>153</v>
      </c>
      <c r="D160" s="22">
        <v>33</v>
      </c>
      <c r="E160" s="22">
        <v>126</v>
      </c>
      <c r="F160" s="24" t="str">
        <f>PROPER(nutrition!$H160)</f>
        <v>Brongkos</v>
      </c>
      <c r="G160" s="22" t="str">
        <f>IF(nutrition!$B160&gt;300,"Tinggi Kalori",IF(nutrition!$B160&gt;100,"Kalori Sedang","Rendah Kalori"))</f>
        <v>Kalori Sedang</v>
      </c>
      <c r="H160" s="23" t="s">
        <v>164</v>
      </c>
    </row>
    <row r="161" spans="1:8" x14ac:dyDescent="0.3">
      <c r="A161" s="25">
        <v>160</v>
      </c>
      <c r="B161" s="26">
        <v>23</v>
      </c>
      <c r="C161" s="26">
        <v>8</v>
      </c>
      <c r="D161" s="26">
        <v>2</v>
      </c>
      <c r="E161" s="26">
        <v>52</v>
      </c>
      <c r="F161" s="28" t="str">
        <f>PROPER(nutrition!$H161)</f>
        <v>Buah Atung</v>
      </c>
      <c r="G161" s="26" t="str">
        <f>IF(nutrition!$B161&gt;300,"Tinggi Kalori",IF(nutrition!$B161&gt;100,"Kalori Sedang","Rendah Kalori"))</f>
        <v>Rendah Kalori</v>
      </c>
      <c r="H161" s="27" t="s">
        <v>165</v>
      </c>
    </row>
    <row r="162" spans="1:8" x14ac:dyDescent="0.3">
      <c r="A162" s="21">
        <v>161</v>
      </c>
      <c r="B162" s="22">
        <v>110</v>
      </c>
      <c r="C162" s="22">
        <v>14</v>
      </c>
      <c r="D162" s="22">
        <v>21</v>
      </c>
      <c r="E162" s="22">
        <v>214</v>
      </c>
      <c r="F162" s="24" t="str">
        <f>PROPER(nutrition!$H162)</f>
        <v>Buah Kelenting Segar</v>
      </c>
      <c r="G162" s="22" t="str">
        <f>IF(nutrition!$B162&gt;300,"Tinggi Kalori",IF(nutrition!$B162&gt;100,"Kalori Sedang","Rendah Kalori"))</f>
        <v>Kalori Sedang</v>
      </c>
      <c r="H162" s="23" t="s">
        <v>166</v>
      </c>
    </row>
    <row r="163" spans="1:8" x14ac:dyDescent="0.3">
      <c r="A163" s="25">
        <v>162</v>
      </c>
      <c r="B163" s="26">
        <v>38</v>
      </c>
      <c r="C163" s="26">
        <v>15</v>
      </c>
      <c r="D163" s="26">
        <v>2</v>
      </c>
      <c r="E163" s="26">
        <v>75</v>
      </c>
      <c r="F163" s="28" t="str">
        <f>PROPER(nutrition!$H163)</f>
        <v>Buah Kelor</v>
      </c>
      <c r="G163" s="26" t="str">
        <f>IF(nutrition!$B163&gt;300,"Tinggi Kalori",IF(nutrition!$B163&gt;100,"Kalori Sedang","Rendah Kalori"))</f>
        <v>Rendah Kalori</v>
      </c>
      <c r="H163" s="27" t="s">
        <v>167</v>
      </c>
    </row>
    <row r="164" spans="1:8" x14ac:dyDescent="0.3">
      <c r="A164" s="21">
        <v>163</v>
      </c>
      <c r="B164" s="22">
        <v>264</v>
      </c>
      <c r="C164" s="22">
        <v>4</v>
      </c>
      <c r="D164" s="22">
        <v>11</v>
      </c>
      <c r="E164" s="22">
        <v>596</v>
      </c>
      <c r="F164" s="24" t="str">
        <f>PROPER(nutrition!$H164)</f>
        <v>Buah Kom Segar</v>
      </c>
      <c r="G164" s="22" t="str">
        <f>IF(nutrition!$B164&gt;300,"Tinggi Kalori",IF(nutrition!$B164&gt;100,"Kalori Sedang","Rendah Kalori"))</f>
        <v>Kalori Sedang</v>
      </c>
      <c r="H164" s="23" t="s">
        <v>168</v>
      </c>
    </row>
    <row r="165" spans="1:8" x14ac:dyDescent="0.3">
      <c r="A165" s="25">
        <v>164</v>
      </c>
      <c r="B165" s="26">
        <v>39</v>
      </c>
      <c r="C165" s="26">
        <v>7</v>
      </c>
      <c r="D165" s="26">
        <v>2</v>
      </c>
      <c r="E165" s="26">
        <v>97</v>
      </c>
      <c r="F165" s="28" t="str">
        <f>PROPER(nutrition!$H165)</f>
        <v>Buah Mentega (Bisbul)</v>
      </c>
      <c r="G165" s="26" t="str">
        <f>IF(nutrition!$B165&gt;300,"Tinggi Kalori",IF(nutrition!$B165&gt;100,"Kalori Sedang","Rendah Kalori"))</f>
        <v>Rendah Kalori</v>
      </c>
      <c r="H165" s="27" t="s">
        <v>169</v>
      </c>
    </row>
    <row r="166" spans="1:8" x14ac:dyDescent="0.3">
      <c r="A166" s="21">
        <v>165</v>
      </c>
      <c r="B166" s="22">
        <v>87</v>
      </c>
      <c r="C166" s="22">
        <v>26</v>
      </c>
      <c r="D166" s="22">
        <v>27</v>
      </c>
      <c r="E166" s="22">
        <v>131</v>
      </c>
      <c r="F166" s="24" t="str">
        <f>PROPER(nutrition!$H166)</f>
        <v>Buah Merah</v>
      </c>
      <c r="G166" s="22" t="str">
        <f>IF(nutrition!$B166&gt;300,"Tinggi Kalori",IF(nutrition!$B166&gt;100,"Kalori Sedang","Rendah Kalori"))</f>
        <v>Rendah Kalori</v>
      </c>
      <c r="H166" s="23" t="s">
        <v>170</v>
      </c>
    </row>
    <row r="167" spans="1:8" x14ac:dyDescent="0.3">
      <c r="A167" s="25">
        <v>166</v>
      </c>
      <c r="B167" s="26">
        <v>71</v>
      </c>
      <c r="C167" s="26">
        <v>17</v>
      </c>
      <c r="D167" s="26">
        <v>31</v>
      </c>
      <c r="E167" s="26">
        <v>91</v>
      </c>
      <c r="F167" s="28" t="str">
        <f>PROPER(nutrition!$H167)</f>
        <v>Buah Naga Merah Segar</v>
      </c>
      <c r="G167" s="26" t="str">
        <f>IF(nutrition!$B167&gt;300,"Tinggi Kalori",IF(nutrition!$B167&gt;100,"Kalori Sedang","Rendah Kalori"))</f>
        <v>Rendah Kalori</v>
      </c>
      <c r="H167" s="27" t="s">
        <v>171</v>
      </c>
    </row>
    <row r="168" spans="1:8" x14ac:dyDescent="0.3">
      <c r="A168" s="21">
        <v>167</v>
      </c>
      <c r="B168" s="22">
        <v>56</v>
      </c>
      <c r="C168" s="22">
        <v>8</v>
      </c>
      <c r="D168" s="22">
        <v>1</v>
      </c>
      <c r="E168" s="22">
        <v>109</v>
      </c>
      <c r="F168" s="24" t="str">
        <f>PROPER(nutrition!$H168)</f>
        <v>Buah Naga Putih Segar</v>
      </c>
      <c r="G168" s="22" t="str">
        <f>IF(nutrition!$B168&gt;300,"Tinggi Kalori",IF(nutrition!$B168&gt;100,"Kalori Sedang","Rendah Kalori"))</f>
        <v>Rendah Kalori</v>
      </c>
      <c r="H168" s="23" t="s">
        <v>172</v>
      </c>
    </row>
    <row r="169" spans="1:8" x14ac:dyDescent="0.3">
      <c r="A169" s="25">
        <v>168</v>
      </c>
      <c r="B169" s="26">
        <v>55</v>
      </c>
      <c r="C169" s="26">
        <v>12</v>
      </c>
      <c r="D169" s="26">
        <v>1</v>
      </c>
      <c r="E169" s="26">
        <v>122</v>
      </c>
      <c r="F169" s="28" t="str">
        <f>PROPER(nutrition!$H169)</f>
        <v>Buah Negri Segar</v>
      </c>
      <c r="G169" s="26" t="str">
        <f>IF(nutrition!$B169&gt;300,"Tinggi Kalori",IF(nutrition!$B169&gt;100,"Kalori Sedang","Rendah Kalori"))</f>
        <v>Rendah Kalori</v>
      </c>
      <c r="H169" s="27" t="s">
        <v>173</v>
      </c>
    </row>
    <row r="170" spans="1:8" x14ac:dyDescent="0.3">
      <c r="A170" s="21">
        <v>169</v>
      </c>
      <c r="B170" s="22">
        <v>101</v>
      </c>
      <c r="C170" s="22">
        <v>17</v>
      </c>
      <c r="D170" s="22">
        <v>6</v>
      </c>
      <c r="E170" s="22">
        <v>252</v>
      </c>
      <c r="F170" s="24" t="str">
        <f>PROPER(nutrition!$H170)</f>
        <v>Buah Nona</v>
      </c>
      <c r="G170" s="22" t="str">
        <f>IF(nutrition!$B170&gt;300,"Tinggi Kalori",IF(nutrition!$B170&gt;100,"Kalori Sedang","Rendah Kalori"))</f>
        <v>Kalori Sedang</v>
      </c>
      <c r="H170" s="23" t="s">
        <v>174</v>
      </c>
    </row>
    <row r="171" spans="1:8" x14ac:dyDescent="0.3">
      <c r="A171" s="25">
        <v>170</v>
      </c>
      <c r="B171" s="26">
        <v>78</v>
      </c>
      <c r="C171" s="26">
        <v>6</v>
      </c>
      <c r="D171" s="26">
        <v>3</v>
      </c>
      <c r="E171" s="26">
        <v>182</v>
      </c>
      <c r="F171" s="28" t="str">
        <f>PROPER(nutrition!$H171)</f>
        <v>Buah Rotan Segar</v>
      </c>
      <c r="G171" s="26" t="str">
        <f>IF(nutrition!$B171&gt;300,"Tinggi Kalori",IF(nutrition!$B171&gt;100,"Kalori Sedang","Rendah Kalori"))</f>
        <v>Rendah Kalori</v>
      </c>
      <c r="H171" s="27" t="s">
        <v>175</v>
      </c>
    </row>
    <row r="172" spans="1:8" x14ac:dyDescent="0.3">
      <c r="A172" s="21">
        <v>171</v>
      </c>
      <c r="B172" s="22">
        <v>113</v>
      </c>
      <c r="C172" s="22">
        <v>8</v>
      </c>
      <c r="D172" s="22">
        <v>3</v>
      </c>
      <c r="E172" s="22">
        <v>268</v>
      </c>
      <c r="F172" s="24" t="str">
        <f>PROPER(nutrition!$H172)</f>
        <v>Buah Rukam Segar</v>
      </c>
      <c r="G172" s="22" t="str">
        <f>IF(nutrition!$B172&gt;300,"Tinggi Kalori",IF(nutrition!$B172&gt;100,"Kalori Sedang","Rendah Kalori"))</f>
        <v>Kalori Sedang</v>
      </c>
      <c r="H172" s="23" t="s">
        <v>176</v>
      </c>
    </row>
    <row r="173" spans="1:8" x14ac:dyDescent="0.3">
      <c r="A173" s="25">
        <v>172</v>
      </c>
      <c r="B173" s="26">
        <v>29</v>
      </c>
      <c r="C173" s="26">
        <v>21</v>
      </c>
      <c r="D173" s="26">
        <v>7</v>
      </c>
      <c r="E173" s="26">
        <v>36</v>
      </c>
      <c r="F173" s="28" t="str">
        <f>PROPER(nutrition!$H173)</f>
        <v>Buah Ruruhi Segar</v>
      </c>
      <c r="G173" s="26" t="str">
        <f>IF(nutrition!$B173&gt;300,"Tinggi Kalori",IF(nutrition!$B173&gt;100,"Kalori Sedang","Rendah Kalori"))</f>
        <v>Rendah Kalori</v>
      </c>
      <c r="H173" s="27" t="s">
        <v>177</v>
      </c>
    </row>
    <row r="174" spans="1:8" x14ac:dyDescent="0.3">
      <c r="A174" s="21">
        <v>173</v>
      </c>
      <c r="B174" s="22">
        <v>67</v>
      </c>
      <c r="C174" s="22">
        <v>4</v>
      </c>
      <c r="D174" s="22">
        <v>2</v>
      </c>
      <c r="E174" s="22">
        <v>159</v>
      </c>
      <c r="F174" s="24" t="str">
        <f>PROPER(nutrition!$H174)</f>
        <v>Buah Tuppa Segar</v>
      </c>
      <c r="G174" s="22" t="str">
        <f>IF(nutrition!$B174&gt;300,"Tinggi Kalori",IF(nutrition!$B174&gt;100,"Kalori Sedang","Rendah Kalori"))</f>
        <v>Rendah Kalori</v>
      </c>
      <c r="H174" s="23" t="s">
        <v>178</v>
      </c>
    </row>
    <row r="175" spans="1:8" x14ac:dyDescent="0.3">
      <c r="A175" s="25">
        <v>174</v>
      </c>
      <c r="B175" s="26">
        <v>365</v>
      </c>
      <c r="C175" s="26">
        <v>496</v>
      </c>
      <c r="D175" s="26">
        <v>48</v>
      </c>
      <c r="E175" s="26">
        <v>308</v>
      </c>
      <c r="F175" s="28" t="str">
        <f>PROPER(nutrition!$H175)</f>
        <v>Buaya Daging Dendeng Mentah</v>
      </c>
      <c r="G175" s="26" t="str">
        <f>IF(nutrition!$B175&gt;300,"Tinggi Kalori",IF(nutrition!$B175&gt;100,"Kalori Sedang","Rendah Kalori"))</f>
        <v>Tinggi Kalori</v>
      </c>
      <c r="H175" s="27" t="s">
        <v>179</v>
      </c>
    </row>
    <row r="176" spans="1:8" x14ac:dyDescent="0.3">
      <c r="A176" s="21">
        <v>175</v>
      </c>
      <c r="B176" s="22">
        <v>60</v>
      </c>
      <c r="C176" s="22">
        <v>1</v>
      </c>
      <c r="D176" s="22">
        <v>60</v>
      </c>
      <c r="E176" s="22">
        <v>13</v>
      </c>
      <c r="F176" s="24" t="str">
        <f>PROPER(nutrition!$H176)</f>
        <v xml:space="preserve">Bubur </v>
      </c>
      <c r="G176" s="22" t="str">
        <f>IF(nutrition!$B176&gt;300,"Tinggi Kalori",IF(nutrition!$B176&gt;100,"Kalori Sedang","Rendah Kalori"))</f>
        <v>Rendah Kalori</v>
      </c>
      <c r="H176" s="23" t="s">
        <v>180</v>
      </c>
    </row>
    <row r="177" spans="1:8" x14ac:dyDescent="0.3">
      <c r="A177" s="25">
        <v>176</v>
      </c>
      <c r="B177" s="26">
        <v>167</v>
      </c>
      <c r="C177" s="26">
        <v>2</v>
      </c>
      <c r="D177" s="26">
        <v>4</v>
      </c>
      <c r="E177" s="26">
        <v>33</v>
      </c>
      <c r="F177" s="28" t="str">
        <f>PROPER(nutrition!$H177)</f>
        <v>Bubur Sagu</v>
      </c>
      <c r="G177" s="26" t="str">
        <f>IF(nutrition!$B177&gt;300,"Tinggi Kalori",IF(nutrition!$B177&gt;100,"Kalori Sedang","Rendah Kalori"))</f>
        <v>Kalori Sedang</v>
      </c>
      <c r="H177" s="27" t="s">
        <v>181</v>
      </c>
    </row>
    <row r="178" spans="1:8" x14ac:dyDescent="0.3">
      <c r="A178" s="21">
        <v>177</v>
      </c>
      <c r="B178" s="22">
        <v>156</v>
      </c>
      <c r="C178" s="22">
        <v>23</v>
      </c>
      <c r="D178" s="22">
        <v>2</v>
      </c>
      <c r="E178" s="22">
        <v>156</v>
      </c>
      <c r="F178" s="24" t="str">
        <f>PROPER(nutrition!$H178)</f>
        <v>Bubur Tinotuan (Manado)</v>
      </c>
      <c r="G178" s="22" t="str">
        <f>IF(nutrition!$B178&gt;300,"Tinggi Kalori",IF(nutrition!$B178&gt;100,"Kalori Sedang","Rendah Kalori"))</f>
        <v>Kalori Sedang</v>
      </c>
      <c r="H178" s="23" t="s">
        <v>182</v>
      </c>
    </row>
    <row r="179" spans="1:8" x14ac:dyDescent="0.3">
      <c r="A179" s="25">
        <v>178</v>
      </c>
      <c r="B179" s="26">
        <v>72</v>
      </c>
      <c r="C179" s="26">
        <v>114</v>
      </c>
      <c r="D179" s="26">
        <v>49</v>
      </c>
      <c r="E179" s="26">
        <v>14</v>
      </c>
      <c r="F179" s="28" t="str">
        <f>PROPER(nutrition!$H179)</f>
        <v>Bulgogi Masakan</v>
      </c>
      <c r="G179" s="26" t="str">
        <f>IF(nutrition!$B179&gt;300,"Tinggi Kalori",IF(nutrition!$B179&gt;100,"Kalori Sedang","Rendah Kalori"))</f>
        <v>Rendah Kalori</v>
      </c>
      <c r="H179" s="27" t="s">
        <v>183</v>
      </c>
    </row>
    <row r="180" spans="1:8" x14ac:dyDescent="0.3">
      <c r="A180" s="21">
        <v>179</v>
      </c>
      <c r="B180" s="22">
        <v>212</v>
      </c>
      <c r="C180" s="22">
        <v>169</v>
      </c>
      <c r="D180" s="22">
        <v>2</v>
      </c>
      <c r="E180" s="22">
        <v>476</v>
      </c>
      <c r="F180" s="24" t="str">
        <f>PROPER(nutrition!$H180)</f>
        <v>Bulung Jajan</v>
      </c>
      <c r="G180" s="22" t="str">
        <f>IF(nutrition!$B180&gt;300,"Tinggi Kalori",IF(nutrition!$B180&gt;100,"Kalori Sedang","Rendah Kalori"))</f>
        <v>Kalori Sedang</v>
      </c>
      <c r="H180" s="23" t="s">
        <v>184</v>
      </c>
    </row>
    <row r="181" spans="1:8" x14ac:dyDescent="0.3">
      <c r="A181" s="25">
        <v>180</v>
      </c>
      <c r="B181" s="26">
        <v>237</v>
      </c>
      <c r="C181" s="26">
        <v>147</v>
      </c>
      <c r="D181" s="26">
        <v>2</v>
      </c>
      <c r="E181" s="26">
        <v>56</v>
      </c>
      <c r="F181" s="28" t="str">
        <f>PROPER(nutrition!$H181)</f>
        <v>Bulung Sangu</v>
      </c>
      <c r="G181" s="26" t="str">
        <f>IF(nutrition!$B181&gt;300,"Tinggi Kalori",IF(nutrition!$B181&gt;100,"Kalori Sedang","Rendah Kalori"))</f>
        <v>Kalori Sedang</v>
      </c>
      <c r="H181" s="27" t="s">
        <v>185</v>
      </c>
    </row>
    <row r="182" spans="1:8" x14ac:dyDescent="0.3">
      <c r="A182" s="21">
        <v>181</v>
      </c>
      <c r="B182" s="22">
        <v>35</v>
      </c>
      <c r="C182" s="22">
        <v>24</v>
      </c>
      <c r="D182" s="22">
        <v>2</v>
      </c>
      <c r="E182" s="22">
        <v>77</v>
      </c>
      <c r="F182" s="24" t="str">
        <f>PROPER(nutrition!$H182)</f>
        <v>Buncis</v>
      </c>
      <c r="G182" s="22" t="str">
        <f>IF(nutrition!$B182&gt;300,"Tinggi Kalori",IF(nutrition!$B182&gt;100,"Kalori Sedang","Rendah Kalori"))</f>
        <v>Rendah Kalori</v>
      </c>
      <c r="H182" s="23" t="s">
        <v>186</v>
      </c>
    </row>
    <row r="183" spans="1:8" x14ac:dyDescent="0.3">
      <c r="A183" s="25">
        <v>182</v>
      </c>
      <c r="B183" s="26">
        <v>60</v>
      </c>
      <c r="C183" s="26">
        <v>51</v>
      </c>
      <c r="D183" s="26">
        <v>5</v>
      </c>
      <c r="E183" s="26">
        <v>85</v>
      </c>
      <c r="F183" s="28" t="str">
        <f>PROPER(nutrition!$H183)</f>
        <v>Buncis Asam</v>
      </c>
      <c r="G183" s="26" t="str">
        <f>IF(nutrition!$B183&gt;300,"Tinggi Kalori",IF(nutrition!$B183&gt;100,"Kalori Sedang","Rendah Kalori"))</f>
        <v>Rendah Kalori</v>
      </c>
      <c r="H183" s="27" t="s">
        <v>187</v>
      </c>
    </row>
    <row r="184" spans="1:8" x14ac:dyDescent="0.3">
      <c r="A184" s="21">
        <v>183</v>
      </c>
      <c r="B184" s="22">
        <v>30</v>
      </c>
      <c r="C184" s="22">
        <v>22</v>
      </c>
      <c r="D184" s="22">
        <v>2</v>
      </c>
      <c r="E184" s="22">
        <v>64</v>
      </c>
      <c r="F184" s="24" t="str">
        <f>PROPER(nutrition!$H184)</f>
        <v>Buncis Rebus</v>
      </c>
      <c r="G184" s="22" t="str">
        <f>IF(nutrition!$B184&gt;300,"Tinggi Kalori",IF(nutrition!$B184&gt;100,"Kalori Sedang","Rendah Kalori"))</f>
        <v>Rendah Kalori</v>
      </c>
      <c r="H184" s="23" t="s">
        <v>188</v>
      </c>
    </row>
    <row r="185" spans="1:8" x14ac:dyDescent="0.3">
      <c r="A185" s="25">
        <v>184</v>
      </c>
      <c r="B185" s="26">
        <v>45</v>
      </c>
      <c r="C185" s="26">
        <v>26</v>
      </c>
      <c r="D185" s="26">
        <v>3</v>
      </c>
      <c r="E185" s="26">
        <v>81</v>
      </c>
      <c r="F185" s="28" t="str">
        <f>PROPER(nutrition!$H185)</f>
        <v>Bunga Pepaya Segar</v>
      </c>
      <c r="G185" s="26" t="str">
        <f>IF(nutrition!$B185&gt;300,"Tinggi Kalori",IF(nutrition!$B185&gt;100,"Kalori Sedang","Rendah Kalori"))</f>
        <v>Rendah Kalori</v>
      </c>
      <c r="H185" s="27" t="s">
        <v>189</v>
      </c>
    </row>
    <row r="186" spans="1:8" x14ac:dyDescent="0.3">
      <c r="A186" s="21">
        <v>185</v>
      </c>
      <c r="B186" s="22">
        <v>42</v>
      </c>
      <c r="C186" s="22">
        <v>2</v>
      </c>
      <c r="D186" s="22">
        <v>11</v>
      </c>
      <c r="E186" s="22">
        <v>61</v>
      </c>
      <c r="F186" s="24" t="str">
        <f>PROPER(nutrition!$H186)</f>
        <v>Bunga Turi Segar</v>
      </c>
      <c r="G186" s="22" t="str">
        <f>IF(nutrition!$B186&gt;300,"Tinggi Kalori",IF(nutrition!$B186&gt;100,"Kalori Sedang","Rendah Kalori"))</f>
        <v>Rendah Kalori</v>
      </c>
      <c r="H186" s="23" t="s">
        <v>190</v>
      </c>
    </row>
    <row r="187" spans="1:8" x14ac:dyDescent="0.3">
      <c r="A187" s="25">
        <v>186</v>
      </c>
      <c r="B187" s="26">
        <v>333</v>
      </c>
      <c r="C187" s="26">
        <v>293</v>
      </c>
      <c r="D187" s="26">
        <v>33</v>
      </c>
      <c r="E187" s="26">
        <v>50</v>
      </c>
      <c r="F187" s="28" t="str">
        <f>PROPER(nutrition!$H187)</f>
        <v>Bungkil Biji Karet</v>
      </c>
      <c r="G187" s="26" t="str">
        <f>IF(nutrition!$B187&gt;300,"Tinggi Kalori",IF(nutrition!$B187&gt;100,"Kalori Sedang","Rendah Kalori"))</f>
        <v>Tinggi Kalori</v>
      </c>
      <c r="H187" s="27" t="s">
        <v>191</v>
      </c>
    </row>
    <row r="188" spans="1:8" x14ac:dyDescent="0.3">
      <c r="A188" s="21">
        <v>187</v>
      </c>
      <c r="B188" s="22">
        <v>336</v>
      </c>
      <c r="C188" s="22">
        <v>374</v>
      </c>
      <c r="D188" s="22">
        <v>13</v>
      </c>
      <c r="E188" s="22">
        <v>305</v>
      </c>
      <c r="F188" s="24" t="str">
        <f>PROPER(nutrition!$H188)</f>
        <v>Bungkil Kacang Tanah</v>
      </c>
      <c r="G188" s="22" t="str">
        <f>IF(nutrition!$B188&gt;300,"Tinggi Kalori",IF(nutrition!$B188&gt;100,"Kalori Sedang","Rendah Kalori"))</f>
        <v>Tinggi Kalori</v>
      </c>
      <c r="H188" s="23" t="s">
        <v>192</v>
      </c>
    </row>
    <row r="189" spans="1:8" x14ac:dyDescent="0.3">
      <c r="A189" s="25">
        <v>188</v>
      </c>
      <c r="B189" s="26">
        <v>368</v>
      </c>
      <c r="C189" s="26">
        <v>23</v>
      </c>
      <c r="D189" s="26">
        <v>15</v>
      </c>
      <c r="E189" s="26">
        <v>40</v>
      </c>
      <c r="F189" s="28" t="str">
        <f>PROPER(nutrition!$H189)</f>
        <v>Bungkil Kelapa</v>
      </c>
      <c r="G189" s="26" t="str">
        <f>IF(nutrition!$B189&gt;300,"Tinggi Kalori",IF(nutrition!$B189&gt;100,"Kalori Sedang","Rendah Kalori"))</f>
        <v>Tinggi Kalori</v>
      </c>
      <c r="H189" s="27" t="s">
        <v>193</v>
      </c>
    </row>
    <row r="190" spans="1:8" x14ac:dyDescent="0.3">
      <c r="A190" s="21">
        <v>189</v>
      </c>
      <c r="B190" s="22">
        <v>106</v>
      </c>
      <c r="C190" s="22">
        <v>44</v>
      </c>
      <c r="D190" s="22">
        <v>63</v>
      </c>
      <c r="E190" s="22">
        <v>79</v>
      </c>
      <c r="F190" s="24" t="str">
        <f>PROPER(nutrition!$H190)</f>
        <v xml:space="preserve">Buntil </v>
      </c>
      <c r="G190" s="22" t="str">
        <f>IF(nutrition!$B190&gt;300,"Tinggi Kalori",IF(nutrition!$B190&gt;100,"Kalori Sedang","Rendah Kalori"))</f>
        <v>Kalori Sedang</v>
      </c>
      <c r="H190" s="23" t="s">
        <v>194</v>
      </c>
    </row>
    <row r="191" spans="1:8" x14ac:dyDescent="0.3">
      <c r="A191" s="25">
        <v>190</v>
      </c>
      <c r="B191" s="26">
        <v>141</v>
      </c>
      <c r="C191" s="26">
        <v>44</v>
      </c>
      <c r="D191" s="26">
        <v>102</v>
      </c>
      <c r="E191" s="26">
        <v>8</v>
      </c>
      <c r="F191" s="28" t="str">
        <f>PROPER(nutrition!$H191)</f>
        <v>Buntil Daun Talas</v>
      </c>
      <c r="G191" s="26" t="str">
        <f>IF(nutrition!$B191&gt;300,"Tinggi Kalori",IF(nutrition!$B191&gt;100,"Kalori Sedang","Rendah Kalori"))</f>
        <v>Kalori Sedang</v>
      </c>
      <c r="H191" s="27" t="s">
        <v>195</v>
      </c>
    </row>
    <row r="192" spans="1:8" x14ac:dyDescent="0.3">
      <c r="A192" s="21">
        <v>191</v>
      </c>
      <c r="B192" s="22">
        <v>1257</v>
      </c>
      <c r="C192" s="22">
        <v>33</v>
      </c>
      <c r="D192" s="22">
        <v>19</v>
      </c>
      <c r="E192" s="22">
        <v>239</v>
      </c>
      <c r="F192" s="24" t="str">
        <f>PROPER(nutrition!$H192)</f>
        <v xml:space="preserve">Buras </v>
      </c>
      <c r="G192" s="22" t="str">
        <f>IF(nutrition!$B192&gt;300,"Tinggi Kalori",IF(nutrition!$B192&gt;100,"Kalori Sedang","Rendah Kalori"))</f>
        <v>Tinggi Kalori</v>
      </c>
      <c r="H192" s="23" t="s">
        <v>196</v>
      </c>
    </row>
    <row r="193" spans="1:8" x14ac:dyDescent="0.3">
      <c r="A193" s="25">
        <v>192</v>
      </c>
      <c r="B193" s="26">
        <v>281</v>
      </c>
      <c r="C193" s="26">
        <v>375</v>
      </c>
      <c r="D193" s="26">
        <v>3</v>
      </c>
      <c r="E193" s="26">
        <v>321</v>
      </c>
      <c r="F193" s="28" t="str">
        <f>PROPER(nutrition!$H193)</f>
        <v>Burung Sarang Segar</v>
      </c>
      <c r="G193" s="26" t="str">
        <f>IF(nutrition!$B193&gt;300,"Tinggi Kalori",IF(nutrition!$B193&gt;100,"Kalori Sedang","Rendah Kalori"))</f>
        <v>Kalori Sedang</v>
      </c>
      <c r="H193" s="27" t="s">
        <v>197</v>
      </c>
    </row>
    <row r="194" spans="1:8" x14ac:dyDescent="0.3">
      <c r="A194" s="21">
        <v>193</v>
      </c>
      <c r="B194" s="22">
        <v>38</v>
      </c>
      <c r="C194" s="22">
        <v>16</v>
      </c>
      <c r="D194" s="22">
        <v>8</v>
      </c>
      <c r="E194" s="22">
        <v>63</v>
      </c>
      <c r="F194" s="24" t="str">
        <f>PROPER(nutrition!$H194)</f>
        <v>Cabai Gembor Merah Segar</v>
      </c>
      <c r="G194" s="22" t="str">
        <f>IF(nutrition!$B194&gt;300,"Tinggi Kalori",IF(nutrition!$B194&gt;100,"Kalori Sedang","Rendah Kalori"))</f>
        <v>Rendah Kalori</v>
      </c>
      <c r="H194" s="23" t="s">
        <v>198</v>
      </c>
    </row>
    <row r="195" spans="1:8" x14ac:dyDescent="0.3">
      <c r="A195" s="25">
        <v>194</v>
      </c>
      <c r="B195" s="26">
        <v>26</v>
      </c>
      <c r="C195" s="26">
        <v>7</v>
      </c>
      <c r="D195" s="26">
        <v>3</v>
      </c>
      <c r="E195" s="26">
        <v>52</v>
      </c>
      <c r="F195" s="28" t="str">
        <f>PROPER(nutrition!$H195)</f>
        <v>Cabai Hijau Segar</v>
      </c>
      <c r="G195" s="26" t="str">
        <f>IF(nutrition!$B195&gt;300,"Tinggi Kalori",IF(nutrition!$B195&gt;100,"Kalori Sedang","Rendah Kalori"))</f>
        <v>Rendah Kalori</v>
      </c>
      <c r="H195" s="27" t="s">
        <v>199</v>
      </c>
    </row>
    <row r="196" spans="1:8" x14ac:dyDescent="0.3">
      <c r="A196" s="21">
        <v>195</v>
      </c>
      <c r="B196" s="22">
        <v>367</v>
      </c>
      <c r="C196" s="22">
        <v>159</v>
      </c>
      <c r="D196" s="22">
        <v>62</v>
      </c>
      <c r="E196" s="22">
        <v>618</v>
      </c>
      <c r="F196" s="24" t="str">
        <f>PROPER(nutrition!$H196)</f>
        <v>Cabai Merah Kering</v>
      </c>
      <c r="G196" s="22" t="str">
        <f>IF(nutrition!$B196&gt;300,"Tinggi Kalori",IF(nutrition!$B196&gt;100,"Kalori Sedang","Rendah Kalori"))</f>
        <v>Tinggi Kalori</v>
      </c>
      <c r="H196" s="23" t="s">
        <v>200</v>
      </c>
    </row>
    <row r="197" spans="1:8" x14ac:dyDescent="0.3">
      <c r="A197" s="25">
        <v>196</v>
      </c>
      <c r="B197" s="26">
        <v>36</v>
      </c>
      <c r="C197" s="26">
        <v>1</v>
      </c>
      <c r="D197" s="26">
        <v>3</v>
      </c>
      <c r="E197" s="26">
        <v>73</v>
      </c>
      <c r="F197" s="28" t="str">
        <f>PROPER(nutrition!$H197)</f>
        <v>Cabai Merah Segar</v>
      </c>
      <c r="G197" s="26" t="str">
        <f>IF(nutrition!$B197&gt;300,"Tinggi Kalori",IF(nutrition!$B197&gt;100,"Kalori Sedang","Rendah Kalori"))</f>
        <v>Rendah Kalori</v>
      </c>
      <c r="H197" s="27" t="s">
        <v>201</v>
      </c>
    </row>
    <row r="198" spans="1:8" x14ac:dyDescent="0.3">
      <c r="A198" s="21">
        <v>197</v>
      </c>
      <c r="B198" s="22">
        <v>120</v>
      </c>
      <c r="C198" s="22">
        <v>47</v>
      </c>
      <c r="D198" s="22">
        <v>24</v>
      </c>
      <c r="E198" s="22">
        <v>199</v>
      </c>
      <c r="F198" s="24" t="str">
        <f>PROPER(nutrition!$H198)</f>
        <v>Cabai Rawit Segar</v>
      </c>
      <c r="G198" s="22" t="str">
        <f>IF(nutrition!$B198&gt;300,"Tinggi Kalori",IF(nutrition!$B198&gt;100,"Kalori Sedang","Rendah Kalori"))</f>
        <v>Kalori Sedang</v>
      </c>
      <c r="H198" s="23" t="s">
        <v>202</v>
      </c>
    </row>
    <row r="199" spans="1:8" x14ac:dyDescent="0.3">
      <c r="A199" s="25">
        <v>198</v>
      </c>
      <c r="B199" s="26">
        <v>20</v>
      </c>
      <c r="C199" s="26">
        <v>17</v>
      </c>
      <c r="D199" s="26">
        <v>4</v>
      </c>
      <c r="E199" s="26">
        <v>34</v>
      </c>
      <c r="F199" s="28" t="str">
        <f>PROPER(nutrition!$H199)</f>
        <v>Caisin Segar</v>
      </c>
      <c r="G199" s="26" t="str">
        <f>IF(nutrition!$B199&gt;300,"Tinggi Kalori",IF(nutrition!$B199&gt;100,"Kalori Sedang","Rendah Kalori"))</f>
        <v>Rendah Kalori</v>
      </c>
      <c r="H199" s="27" t="s">
        <v>203</v>
      </c>
    </row>
    <row r="200" spans="1:8" x14ac:dyDescent="0.3">
      <c r="A200" s="21">
        <v>199</v>
      </c>
      <c r="B200" s="22">
        <v>155</v>
      </c>
      <c r="C200" s="22">
        <v>201</v>
      </c>
      <c r="D200" s="22">
        <v>38</v>
      </c>
      <c r="E200" s="22">
        <v>102</v>
      </c>
      <c r="F200" s="24" t="str">
        <f>PROPER(nutrition!$H200)</f>
        <v>Cakalang Asar (Asap Papua)</v>
      </c>
      <c r="G200" s="22" t="str">
        <f>IF(nutrition!$B200&gt;300,"Tinggi Kalori",IF(nutrition!$B200&gt;100,"Kalori Sedang","Rendah Kalori"))</f>
        <v>Kalori Sedang</v>
      </c>
      <c r="H200" s="23" t="s">
        <v>204</v>
      </c>
    </row>
    <row r="201" spans="1:8" x14ac:dyDescent="0.3">
      <c r="A201" s="25">
        <v>200</v>
      </c>
      <c r="B201" s="26">
        <v>323</v>
      </c>
      <c r="C201" s="26">
        <v>49</v>
      </c>
      <c r="D201" s="26">
        <v>115</v>
      </c>
      <c r="E201" s="26">
        <v>501</v>
      </c>
      <c r="F201" s="28" t="str">
        <f>PROPER(nutrition!$H201)</f>
        <v>Cake Tape</v>
      </c>
      <c r="G201" s="26" t="str">
        <f>IF(nutrition!$B201&gt;300,"Tinggi Kalori",IF(nutrition!$B201&gt;100,"Kalori Sedang","Rendah Kalori"))</f>
        <v>Tinggi Kalori</v>
      </c>
      <c r="H201" s="27" t="s">
        <v>205</v>
      </c>
    </row>
    <row r="202" spans="1:8" x14ac:dyDescent="0.3">
      <c r="A202" s="21">
        <v>201</v>
      </c>
      <c r="B202" s="22">
        <v>102</v>
      </c>
      <c r="C202" s="22">
        <v>32</v>
      </c>
      <c r="D202" s="22">
        <v>6</v>
      </c>
      <c r="E202" s="22">
        <v>87</v>
      </c>
      <c r="F202" s="24" t="str">
        <f>PROPER(nutrition!$H202)</f>
        <v>Cammetutu</v>
      </c>
      <c r="G202" s="22" t="str">
        <f>IF(nutrition!$B202&gt;300,"Tinggi Kalori",IF(nutrition!$B202&gt;100,"Kalori Sedang","Rendah Kalori"))</f>
        <v>Kalori Sedang</v>
      </c>
      <c r="H202" s="23" t="s">
        <v>206</v>
      </c>
    </row>
    <row r="203" spans="1:8" x14ac:dyDescent="0.3">
      <c r="A203" s="25">
        <v>202</v>
      </c>
      <c r="B203" s="26">
        <v>366</v>
      </c>
      <c r="C203" s="26">
        <v>11</v>
      </c>
      <c r="D203" s="26">
        <v>33</v>
      </c>
      <c r="E203" s="26">
        <v>73</v>
      </c>
      <c r="F203" s="28" t="str">
        <f>PROPER(nutrition!$H203)</f>
        <v>Cantel Mentah</v>
      </c>
      <c r="G203" s="26" t="str">
        <f>IF(nutrition!$B203&gt;300,"Tinggi Kalori",IF(nutrition!$B203&gt;100,"Kalori Sedang","Rendah Kalori"))</f>
        <v>Tinggi Kalori</v>
      </c>
      <c r="H203" s="27" t="s">
        <v>207</v>
      </c>
    </row>
    <row r="204" spans="1:8" x14ac:dyDescent="0.3">
      <c r="A204" s="21">
        <v>203</v>
      </c>
      <c r="B204" s="22">
        <v>97</v>
      </c>
      <c r="C204" s="22">
        <v>58</v>
      </c>
      <c r="D204" s="22">
        <v>63</v>
      </c>
      <c r="E204" s="22">
        <v>42</v>
      </c>
      <c r="F204" s="24" t="str">
        <f>PROPER(nutrition!$H204)</f>
        <v>Cap Cai Sayur</v>
      </c>
      <c r="G204" s="22" t="str">
        <f>IF(nutrition!$B204&gt;300,"Tinggi Kalori",IF(nutrition!$B204&gt;100,"Kalori Sedang","Rendah Kalori"))</f>
        <v>Rendah Kalori</v>
      </c>
      <c r="H204" s="23" t="s">
        <v>208</v>
      </c>
    </row>
    <row r="205" spans="1:8" x14ac:dyDescent="0.3">
      <c r="A205" s="25">
        <v>204</v>
      </c>
      <c r="B205" s="26">
        <v>24</v>
      </c>
      <c r="C205" s="26">
        <v>19</v>
      </c>
      <c r="D205" s="26">
        <v>2</v>
      </c>
      <c r="E205" s="26">
        <v>37</v>
      </c>
      <c r="F205" s="28" t="str">
        <f>PROPER(nutrition!$H205)</f>
        <v>Carica Papaya Segar</v>
      </c>
      <c r="G205" s="26" t="str">
        <f>IF(nutrition!$B205&gt;300,"Tinggi Kalori",IF(nutrition!$B205&gt;100,"Kalori Sedang","Rendah Kalori"))</f>
        <v>Rendah Kalori</v>
      </c>
      <c r="H205" s="27" t="s">
        <v>209</v>
      </c>
    </row>
    <row r="206" spans="1:8" x14ac:dyDescent="0.3">
      <c r="A206" s="21">
        <v>205</v>
      </c>
      <c r="B206" s="22">
        <v>460</v>
      </c>
      <c r="C206" s="22">
        <v>8</v>
      </c>
      <c r="D206" s="22">
        <v>187</v>
      </c>
      <c r="E206" s="22">
        <v>172</v>
      </c>
      <c r="F206" s="24" t="str">
        <f>PROPER(nutrition!$H206)</f>
        <v>Cassavastick</v>
      </c>
      <c r="G206" s="22" t="str">
        <f>IF(nutrition!$B206&gt;300,"Tinggi Kalori",IF(nutrition!$B206&gt;100,"Kalori Sedang","Rendah Kalori"))</f>
        <v>Tinggi Kalori</v>
      </c>
      <c r="H206" s="23" t="s">
        <v>210</v>
      </c>
    </row>
    <row r="207" spans="1:8" x14ac:dyDescent="0.3">
      <c r="A207" s="25">
        <v>206</v>
      </c>
      <c r="B207" s="26">
        <v>116</v>
      </c>
      <c r="C207" s="26">
        <v>3</v>
      </c>
      <c r="D207" s="26">
        <v>4</v>
      </c>
      <c r="E207" s="26">
        <v>286</v>
      </c>
      <c r="F207" s="28" t="str">
        <f>PROPER(nutrition!$H207)</f>
        <v>Cempedak</v>
      </c>
      <c r="G207" s="26" t="str">
        <f>IF(nutrition!$B207&gt;300,"Tinggi Kalori",IF(nutrition!$B207&gt;100,"Kalori Sedang","Rendah Kalori"))</f>
        <v>Kalori Sedang</v>
      </c>
      <c r="H207" s="27" t="s">
        <v>211</v>
      </c>
    </row>
    <row r="208" spans="1:8" x14ac:dyDescent="0.3">
      <c r="A208" s="21">
        <v>207</v>
      </c>
      <c r="B208" s="22">
        <v>330</v>
      </c>
      <c r="C208" s="22">
        <v>52</v>
      </c>
      <c r="D208" s="22">
        <v>89</v>
      </c>
      <c r="E208" s="22">
        <v>574</v>
      </c>
      <c r="F208" s="24" t="str">
        <f>PROPER(nutrition!$H208)</f>
        <v>Cengkeh Kering</v>
      </c>
      <c r="G208" s="22" t="str">
        <f>IF(nutrition!$B208&gt;300,"Tinggi Kalori",IF(nutrition!$B208&gt;100,"Kalori Sedang","Rendah Kalori"))</f>
        <v>Tinggi Kalori</v>
      </c>
      <c r="H208" s="23" t="s">
        <v>212</v>
      </c>
    </row>
    <row r="209" spans="1:8" x14ac:dyDescent="0.3">
      <c r="A209" s="25">
        <v>208</v>
      </c>
      <c r="B209" s="26">
        <v>332</v>
      </c>
      <c r="C209" s="26">
        <v>11</v>
      </c>
      <c r="D209" s="26">
        <v>33</v>
      </c>
      <c r="E209" s="26">
        <v>73</v>
      </c>
      <c r="F209" s="28" t="str">
        <f>PROPER(nutrition!$H209)</f>
        <v>Centel</v>
      </c>
      <c r="G209" s="26" t="str">
        <f>IF(nutrition!$B209&gt;300,"Tinggi Kalori",IF(nutrition!$B209&gt;100,"Kalori Sedang","Rendah Kalori"))</f>
        <v>Tinggi Kalori</v>
      </c>
      <c r="H209" s="27" t="s">
        <v>213</v>
      </c>
    </row>
    <row r="210" spans="1:8" x14ac:dyDescent="0.3">
      <c r="A210" s="21">
        <v>209</v>
      </c>
      <c r="B210" s="22">
        <v>462</v>
      </c>
      <c r="C210" s="22">
        <v>12</v>
      </c>
      <c r="D210" s="22">
        <v>207</v>
      </c>
      <c r="E210" s="22">
        <v>677</v>
      </c>
      <c r="F210" s="24" t="str">
        <f>PROPER(nutrition!$H210)</f>
        <v>Ceriping Getuk Singkong</v>
      </c>
      <c r="G210" s="22" t="str">
        <f>IF(nutrition!$B210&gt;300,"Tinggi Kalori",IF(nutrition!$B210&gt;100,"Kalori Sedang","Rendah Kalori"))</f>
        <v>Tinggi Kalori</v>
      </c>
      <c r="H210" s="23" t="s">
        <v>214</v>
      </c>
    </row>
    <row r="211" spans="1:8" x14ac:dyDescent="0.3">
      <c r="A211" s="25">
        <v>210</v>
      </c>
      <c r="B211" s="26">
        <v>168</v>
      </c>
      <c r="C211" s="26">
        <v>13</v>
      </c>
      <c r="D211" s="26">
        <v>96</v>
      </c>
      <c r="E211" s="26">
        <v>75</v>
      </c>
      <c r="F211" s="28" t="str">
        <f>PROPER(nutrition!$H211)</f>
        <v>Chicken Teriyaki Masakan</v>
      </c>
      <c r="G211" s="26" t="str">
        <f>IF(nutrition!$B211&gt;300,"Tinggi Kalori",IF(nutrition!$B211&gt;100,"Kalori Sedang","Rendah Kalori"))</f>
        <v>Kalori Sedang</v>
      </c>
      <c r="H211" s="27" t="s">
        <v>215</v>
      </c>
    </row>
    <row r="212" spans="1:8" x14ac:dyDescent="0.3">
      <c r="A212" s="21">
        <v>211</v>
      </c>
      <c r="B212" s="22">
        <v>143</v>
      </c>
      <c r="C212" s="22">
        <v>98</v>
      </c>
      <c r="D212" s="22">
        <v>14</v>
      </c>
      <c r="E212" s="22">
        <v>228</v>
      </c>
      <c r="F212" s="24" t="str">
        <f>PROPER(nutrition!$H212)</f>
        <v>Chikiniku Masakan</v>
      </c>
      <c r="G212" s="22" t="str">
        <f>IF(nutrition!$B212&gt;300,"Tinggi Kalori",IF(nutrition!$B212&gt;100,"Kalori Sedang","Rendah Kalori"))</f>
        <v>Kalori Sedang</v>
      </c>
      <c r="H212" s="23" t="s">
        <v>216</v>
      </c>
    </row>
    <row r="213" spans="1:8" x14ac:dyDescent="0.3">
      <c r="A213" s="25">
        <v>212</v>
      </c>
      <c r="B213" s="26">
        <v>311</v>
      </c>
      <c r="C213" s="26">
        <v>8</v>
      </c>
      <c r="D213" s="26">
        <v>4</v>
      </c>
      <c r="E213" s="26">
        <v>489</v>
      </c>
      <c r="F213" s="28" t="str">
        <f>PROPER(nutrition!$H213)</f>
        <v>Coklat Bubuk</v>
      </c>
      <c r="G213" s="26" t="str">
        <f>IF(nutrition!$B213&gt;300,"Tinggi Kalori",IF(nutrition!$B213&gt;100,"Kalori Sedang","Rendah Kalori"))</f>
        <v>Tinggi Kalori</v>
      </c>
      <c r="H213" s="27" t="s">
        <v>217</v>
      </c>
    </row>
    <row r="214" spans="1:8" x14ac:dyDescent="0.3">
      <c r="A214" s="21">
        <v>213</v>
      </c>
      <c r="B214" s="22">
        <v>472</v>
      </c>
      <c r="C214" s="22">
        <v>2</v>
      </c>
      <c r="D214" s="22">
        <v>298</v>
      </c>
      <c r="E214" s="22">
        <v>627</v>
      </c>
      <c r="F214" s="24" t="str">
        <f>PROPER(nutrition!$H214)</f>
        <v>Coklat Manis Batang</v>
      </c>
      <c r="G214" s="22" t="str">
        <f>IF(nutrition!$B214&gt;300,"Tinggi Kalori",IF(nutrition!$B214&gt;100,"Kalori Sedang","Rendah Kalori"))</f>
        <v>Tinggi Kalori</v>
      </c>
      <c r="H214" s="23" t="s">
        <v>218</v>
      </c>
    </row>
    <row r="215" spans="1:8" x14ac:dyDescent="0.3">
      <c r="A215" s="25">
        <v>214</v>
      </c>
      <c r="B215" s="26">
        <v>504</v>
      </c>
      <c r="C215" s="26">
        <v>55</v>
      </c>
      <c r="D215" s="26">
        <v>529</v>
      </c>
      <c r="E215" s="26">
        <v>292</v>
      </c>
      <c r="F215" s="28" t="str">
        <f>PROPER(nutrition!$H215)</f>
        <v>Coklat Pahit Batang</v>
      </c>
      <c r="G215" s="26" t="str">
        <f>IF(nutrition!$B215&gt;300,"Tinggi Kalori",IF(nutrition!$B215&gt;100,"Kalori Sedang","Rendah Kalori"))</f>
        <v>Tinggi Kalori</v>
      </c>
      <c r="H215" s="27" t="s">
        <v>219</v>
      </c>
    </row>
    <row r="216" spans="1:8" x14ac:dyDescent="0.3">
      <c r="A216" s="21">
        <v>215</v>
      </c>
      <c r="B216" s="22">
        <v>381</v>
      </c>
      <c r="C216" s="22">
        <v>9</v>
      </c>
      <c r="D216" s="22">
        <v>35</v>
      </c>
      <c r="E216" s="22">
        <v>536</v>
      </c>
      <c r="F216" s="24" t="str">
        <f>PROPER(nutrition!$H216)</f>
        <v>Coklat Susu Batang</v>
      </c>
      <c r="G216" s="22" t="str">
        <f>IF(nutrition!$B216&gt;300,"Tinggi Kalori",IF(nutrition!$B216&gt;100,"Kalori Sedang","Rendah Kalori"))</f>
        <v>Tinggi Kalori</v>
      </c>
      <c r="H216" s="23" t="s">
        <v>220</v>
      </c>
    </row>
    <row r="217" spans="1:8" x14ac:dyDescent="0.3">
      <c r="A217" s="25">
        <v>216</v>
      </c>
      <c r="B217" s="26">
        <v>210</v>
      </c>
      <c r="C217" s="26">
        <v>16</v>
      </c>
      <c r="D217" s="26">
        <v>66</v>
      </c>
      <c r="E217" s="26">
        <v>358</v>
      </c>
      <c r="F217" s="28" t="str">
        <f>PROPER(nutrition!$H217)</f>
        <v xml:space="preserve">Combro </v>
      </c>
      <c r="G217" s="26" t="str">
        <f>IF(nutrition!$B217&gt;300,"Tinggi Kalori",IF(nutrition!$B217&gt;100,"Kalori Sedang","Rendah Kalori"))</f>
        <v>Kalori Sedang</v>
      </c>
      <c r="H217" s="27" t="s">
        <v>221</v>
      </c>
    </row>
    <row r="218" spans="1:8" x14ac:dyDescent="0.3">
      <c r="A218" s="21">
        <v>217</v>
      </c>
      <c r="B218" s="22">
        <v>241</v>
      </c>
      <c r="C218" s="22">
        <v>16</v>
      </c>
      <c r="D218" s="22">
        <v>25</v>
      </c>
      <c r="E218" s="22">
        <v>0</v>
      </c>
      <c r="F218" s="24" t="str">
        <f>PROPER(nutrition!$H218)</f>
        <v>Corned Beef</v>
      </c>
      <c r="G218" s="22" t="str">
        <f>IF(nutrition!$B218&gt;300,"Tinggi Kalori",IF(nutrition!$B218&gt;100,"Kalori Sedang","Rendah Kalori"))</f>
        <v>Kalori Sedang</v>
      </c>
      <c r="H218" s="23" t="s">
        <v>222</v>
      </c>
    </row>
    <row r="219" spans="1:8" x14ac:dyDescent="0.3">
      <c r="A219" s="25">
        <v>218</v>
      </c>
      <c r="B219" s="26">
        <v>96</v>
      </c>
      <c r="C219" s="26">
        <v>68</v>
      </c>
      <c r="D219" s="26">
        <v>59</v>
      </c>
      <c r="E219" s="26">
        <v>38</v>
      </c>
      <c r="F219" s="28" t="str">
        <f>PROPER(nutrition!$H219)</f>
        <v>Coto Mangkasara Kuda Masakan</v>
      </c>
      <c r="G219" s="26" t="str">
        <f>IF(nutrition!$B219&gt;300,"Tinggi Kalori",IF(nutrition!$B219&gt;100,"Kalori Sedang","Rendah Kalori"))</f>
        <v>Rendah Kalori</v>
      </c>
      <c r="H219" s="27" t="s">
        <v>223</v>
      </c>
    </row>
    <row r="220" spans="1:8" x14ac:dyDescent="0.3">
      <c r="A220" s="21">
        <v>219</v>
      </c>
      <c r="B220" s="22">
        <v>84</v>
      </c>
      <c r="C220" s="22">
        <v>6</v>
      </c>
      <c r="D220" s="22">
        <v>6</v>
      </c>
      <c r="E220" s="22">
        <v>14</v>
      </c>
      <c r="F220" s="24" t="str">
        <f>PROPER(nutrition!$H220)</f>
        <v>Coto Mangkasara Sapi Masakan</v>
      </c>
      <c r="G220" s="22" t="str">
        <f>IF(nutrition!$B220&gt;300,"Tinggi Kalori",IF(nutrition!$B220&gt;100,"Kalori Sedang","Rendah Kalori"))</f>
        <v>Rendah Kalori</v>
      </c>
      <c r="H220" s="23" t="s">
        <v>224</v>
      </c>
    </row>
    <row r="221" spans="1:8" x14ac:dyDescent="0.3">
      <c r="A221" s="25">
        <v>220</v>
      </c>
      <c r="B221" s="26">
        <v>145</v>
      </c>
      <c r="C221" s="26">
        <v>27</v>
      </c>
      <c r="D221" s="26">
        <v>23</v>
      </c>
      <c r="E221" s="26">
        <v>0</v>
      </c>
      <c r="F221" s="28" t="str">
        <f>PROPER(nutrition!$H221)</f>
        <v>Cue Selar Kuning</v>
      </c>
      <c r="G221" s="26" t="str">
        <f>IF(nutrition!$B221&gt;300,"Tinggi Kalori",IF(nutrition!$B221&gt;100,"Kalori Sedang","Rendah Kalori"))</f>
        <v>Kalori Sedang</v>
      </c>
      <c r="H221" s="27" t="s">
        <v>225</v>
      </c>
    </row>
    <row r="222" spans="1:8" x14ac:dyDescent="0.3">
      <c r="A222" s="21">
        <v>221</v>
      </c>
      <c r="B222" s="22">
        <v>12</v>
      </c>
      <c r="C222" s="22">
        <v>1</v>
      </c>
      <c r="D222" s="22">
        <v>1</v>
      </c>
      <c r="E222" s="22">
        <v>5</v>
      </c>
      <c r="F222" s="24" t="str">
        <f>PROPER(nutrition!$H222)</f>
        <v>Cuka</v>
      </c>
      <c r="G222" s="22" t="str">
        <f>IF(nutrition!$B222&gt;300,"Tinggi Kalori",IF(nutrition!$B222&gt;100,"Kalori Sedang","Rendah Kalori"))</f>
        <v>Rendah Kalori</v>
      </c>
      <c r="H222" s="23" t="s">
        <v>226</v>
      </c>
    </row>
    <row r="223" spans="1:8" x14ac:dyDescent="0.3">
      <c r="A223" s="25">
        <v>222</v>
      </c>
      <c r="B223" s="26">
        <v>265</v>
      </c>
      <c r="C223" s="26">
        <v>406</v>
      </c>
      <c r="D223" s="26">
        <v>101</v>
      </c>
      <c r="E223" s="26">
        <v>0</v>
      </c>
      <c r="F223" s="28" t="str">
        <f>PROPER(nutrition!$H223)</f>
        <v>Cumi-Cumi Goreng</v>
      </c>
      <c r="G223" s="26" t="str">
        <f>IF(nutrition!$B223&gt;300,"Tinggi Kalori",IF(nutrition!$B223&gt;100,"Kalori Sedang","Rendah Kalori"))</f>
        <v>Kalori Sedang</v>
      </c>
      <c r="H223" s="27" t="s">
        <v>227</v>
      </c>
    </row>
    <row r="224" spans="1:8" x14ac:dyDescent="0.3">
      <c r="A224" s="21">
        <v>223</v>
      </c>
      <c r="B224" s="22">
        <v>75</v>
      </c>
      <c r="C224" s="22">
        <v>161</v>
      </c>
      <c r="D224" s="22">
        <v>7</v>
      </c>
      <c r="E224" s="22">
        <v>1</v>
      </c>
      <c r="F224" s="24" t="str">
        <f>PROPER(nutrition!$H224)</f>
        <v>Cumi-Cumi Segar</v>
      </c>
      <c r="G224" s="22" t="str">
        <f>IF(nutrition!$B224&gt;300,"Tinggi Kalori",IF(nutrition!$B224&gt;100,"Kalori Sedang","Rendah Kalori"))</f>
        <v>Rendah Kalori</v>
      </c>
      <c r="H224" s="23" t="s">
        <v>228</v>
      </c>
    </row>
    <row r="225" spans="1:8" x14ac:dyDescent="0.3">
      <c r="A225" s="25">
        <v>224</v>
      </c>
      <c r="B225" s="26">
        <v>190</v>
      </c>
      <c r="C225" s="26">
        <v>191</v>
      </c>
      <c r="D225" s="26">
        <v>12</v>
      </c>
      <c r="E225" s="26">
        <v>0</v>
      </c>
      <c r="F225" s="28" t="str">
        <f>PROPER(nutrition!$H225)</f>
        <v>Daging Anak Sapi</v>
      </c>
      <c r="G225" s="26" t="str">
        <f>IF(nutrition!$B225&gt;300,"Tinggi Kalori",IF(nutrition!$B225&gt;100,"Kalori Sedang","Rendah Kalori"))</f>
        <v>Kalori Sedang</v>
      </c>
      <c r="H225" s="27" t="s">
        <v>229</v>
      </c>
    </row>
    <row r="226" spans="1:8" x14ac:dyDescent="0.3">
      <c r="A226" s="21">
        <v>225</v>
      </c>
      <c r="B226" s="22">
        <v>191</v>
      </c>
      <c r="C226" s="22">
        <v>32</v>
      </c>
      <c r="D226" s="22">
        <v>6</v>
      </c>
      <c r="E226" s="22">
        <v>0</v>
      </c>
      <c r="F226" s="24" t="str">
        <f>PROPER(nutrition!$H226)</f>
        <v>Daging Asap</v>
      </c>
      <c r="G226" s="22" t="str">
        <f>IF(nutrition!$B226&gt;300,"Tinggi Kalori",IF(nutrition!$B226&gt;100,"Kalori Sedang","Rendah Kalori"))</f>
        <v>Kalori Sedang</v>
      </c>
      <c r="H226" s="23" t="s">
        <v>230</v>
      </c>
    </row>
    <row r="227" spans="1:8" x14ac:dyDescent="0.3">
      <c r="A227" s="25">
        <v>226</v>
      </c>
      <c r="B227" s="26">
        <v>457</v>
      </c>
      <c r="C227" s="26">
        <v>116</v>
      </c>
      <c r="D227" s="26">
        <v>45</v>
      </c>
      <c r="E227" s="26">
        <v>0</v>
      </c>
      <c r="F227" s="28" t="str">
        <f>PROPER(nutrition!$H227)</f>
        <v>Daging Babi Gemuk</v>
      </c>
      <c r="G227" s="26" t="str">
        <f>IF(nutrition!$B227&gt;300,"Tinggi Kalori",IF(nutrition!$B227&gt;100,"Kalori Sedang","Rendah Kalori"))</f>
        <v>Tinggi Kalori</v>
      </c>
      <c r="H227" s="27" t="s">
        <v>231</v>
      </c>
    </row>
    <row r="228" spans="1:8" x14ac:dyDescent="0.3">
      <c r="A228" s="21">
        <v>227</v>
      </c>
      <c r="B228" s="22">
        <v>376</v>
      </c>
      <c r="C228" s="22">
        <v>141</v>
      </c>
      <c r="D228" s="22">
        <v>35</v>
      </c>
      <c r="E228" s="22">
        <v>0</v>
      </c>
      <c r="F228" s="24" t="str">
        <f>PROPER(nutrition!$H228)</f>
        <v>Daging Babi Kurus</v>
      </c>
      <c r="G228" s="22" t="str">
        <f>IF(nutrition!$B228&gt;300,"Tinggi Kalori",IF(nutrition!$B228&gt;100,"Kalori Sedang","Rendah Kalori"))</f>
        <v>Tinggi Kalori</v>
      </c>
      <c r="H228" s="23" t="s">
        <v>232</v>
      </c>
    </row>
    <row r="229" spans="1:8" x14ac:dyDescent="0.3">
      <c r="A229" s="25">
        <v>228</v>
      </c>
      <c r="B229" s="26">
        <v>206</v>
      </c>
      <c r="C229" s="26">
        <v>171</v>
      </c>
      <c r="D229" s="26">
        <v>148</v>
      </c>
      <c r="E229" s="26">
        <v>0</v>
      </c>
      <c r="F229" s="28" t="str">
        <f>PROPER(nutrition!$H229)</f>
        <v>Daging Domba</v>
      </c>
      <c r="G229" s="26" t="str">
        <f>IF(nutrition!$B229&gt;300,"Tinggi Kalori",IF(nutrition!$B229&gt;100,"Kalori Sedang","Rendah Kalori"))</f>
        <v>Kalori Sedang</v>
      </c>
      <c r="H229" s="27" t="s">
        <v>233</v>
      </c>
    </row>
    <row r="230" spans="1:8" x14ac:dyDescent="0.3">
      <c r="A230" s="21">
        <v>229</v>
      </c>
      <c r="B230" s="22">
        <v>154</v>
      </c>
      <c r="C230" s="22">
        <v>166</v>
      </c>
      <c r="D230" s="22">
        <v>92</v>
      </c>
      <c r="E230" s="22">
        <v>0</v>
      </c>
      <c r="F230" s="24" t="str">
        <f>PROPER(nutrition!$H230)</f>
        <v>Daging Kambing</v>
      </c>
      <c r="G230" s="22" t="str">
        <f>IF(nutrition!$B230&gt;300,"Tinggi Kalori",IF(nutrition!$B230&gt;100,"Kalori Sedang","Rendah Kalori"))</f>
        <v>Kalori Sedang</v>
      </c>
      <c r="H230" s="23" t="s">
        <v>234</v>
      </c>
    </row>
    <row r="231" spans="1:8" x14ac:dyDescent="0.3">
      <c r="A231" s="25">
        <v>230</v>
      </c>
      <c r="B231" s="26">
        <v>84</v>
      </c>
      <c r="C231" s="26">
        <v>187</v>
      </c>
      <c r="D231" s="26">
        <v>5</v>
      </c>
      <c r="E231" s="26">
        <v>0</v>
      </c>
      <c r="F231" s="28" t="str">
        <f>PROPER(nutrition!$H231)</f>
        <v>Daging Kerbau</v>
      </c>
      <c r="G231" s="26" t="str">
        <f>IF(nutrition!$B231&gt;300,"Tinggi Kalori",IF(nutrition!$B231&gt;100,"Kalori Sedang","Rendah Kalori"))</f>
        <v>Rendah Kalori</v>
      </c>
      <c r="H231" s="27" t="s">
        <v>235</v>
      </c>
    </row>
    <row r="232" spans="1:8" x14ac:dyDescent="0.3">
      <c r="A232" s="21">
        <v>231</v>
      </c>
      <c r="B232" s="22">
        <v>118</v>
      </c>
      <c r="C232" s="22">
        <v>181</v>
      </c>
      <c r="D232" s="22">
        <v>41</v>
      </c>
      <c r="E232" s="22">
        <v>9</v>
      </c>
      <c r="F232" s="24" t="str">
        <f>PROPER(nutrition!$H232)</f>
        <v>Daging Kuda</v>
      </c>
      <c r="G232" s="22" t="str">
        <f>IF(nutrition!$B232&gt;300,"Tinggi Kalori",IF(nutrition!$B232&gt;100,"Kalori Sedang","Rendah Kalori"))</f>
        <v>Kalori Sedang</v>
      </c>
      <c r="H232" s="23" t="s">
        <v>236</v>
      </c>
    </row>
    <row r="233" spans="1:8" x14ac:dyDescent="0.3">
      <c r="A233" s="25">
        <v>232</v>
      </c>
      <c r="B233" s="26">
        <v>207</v>
      </c>
      <c r="C233" s="26">
        <v>188</v>
      </c>
      <c r="D233" s="26">
        <v>14</v>
      </c>
      <c r="E233" s="26">
        <v>0</v>
      </c>
      <c r="F233" s="28" t="str">
        <f>PROPER(nutrition!$H233)</f>
        <v>Daging Sapi</v>
      </c>
      <c r="G233" s="26" t="str">
        <f>IF(nutrition!$B233&gt;300,"Tinggi Kalori",IF(nutrition!$B233&gt;100,"Kalori Sedang","Rendah Kalori"))</f>
        <v>Kalori Sedang</v>
      </c>
      <c r="H233" s="27" t="s">
        <v>237</v>
      </c>
    </row>
    <row r="234" spans="1:8" x14ac:dyDescent="0.3">
      <c r="A234" s="21">
        <v>233</v>
      </c>
      <c r="B234" s="22">
        <v>27</v>
      </c>
      <c r="C234" s="22">
        <v>13</v>
      </c>
      <c r="D234" s="22">
        <v>6</v>
      </c>
      <c r="E234" s="22">
        <v>4</v>
      </c>
      <c r="F234" s="24" t="str">
        <f>PROPER(nutrition!$H234)</f>
        <v>Daun Bangun-Bangun Segar</v>
      </c>
      <c r="G234" s="22" t="str">
        <f>IF(nutrition!$B234&gt;300,"Tinggi Kalori",IF(nutrition!$B234&gt;100,"Kalori Sedang","Rendah Kalori"))</f>
        <v>Rendah Kalori</v>
      </c>
      <c r="H234" s="23" t="s">
        <v>238</v>
      </c>
    </row>
    <row r="235" spans="1:8" x14ac:dyDescent="0.3">
      <c r="A235" s="25">
        <v>234</v>
      </c>
      <c r="B235" s="26">
        <v>29</v>
      </c>
      <c r="C235" s="26">
        <v>18</v>
      </c>
      <c r="D235" s="26">
        <v>7</v>
      </c>
      <c r="E235" s="26">
        <v>52</v>
      </c>
      <c r="F235" s="28" t="str">
        <f>PROPER(nutrition!$H235)</f>
        <v>Daun Bawang</v>
      </c>
      <c r="G235" s="26" t="str">
        <f>IF(nutrition!$B235&gt;300,"Tinggi Kalori",IF(nutrition!$B235&gt;100,"Kalori Sedang","Rendah Kalori"))</f>
        <v>Rendah Kalori</v>
      </c>
      <c r="H235" s="27" t="s">
        <v>239</v>
      </c>
    </row>
    <row r="236" spans="1:8" x14ac:dyDescent="0.3">
      <c r="A236" s="21">
        <v>235</v>
      </c>
      <c r="B236" s="22">
        <v>41</v>
      </c>
      <c r="C236" s="22">
        <v>2</v>
      </c>
      <c r="D236" s="22">
        <v>3</v>
      </c>
      <c r="E236" s="22">
        <v>78</v>
      </c>
      <c r="F236" s="24" t="str">
        <f>PROPER(nutrition!$H236)</f>
        <v>Daun Bawang  Merah Segar</v>
      </c>
      <c r="G236" s="22" t="str">
        <f>IF(nutrition!$B236&gt;300,"Tinggi Kalori",IF(nutrition!$B236&gt;100,"Kalori Sedang","Rendah Kalori"))</f>
        <v>Rendah Kalori</v>
      </c>
      <c r="H236" s="23" t="s">
        <v>240</v>
      </c>
    </row>
    <row r="237" spans="1:8" x14ac:dyDescent="0.3">
      <c r="A237" s="25">
        <v>236</v>
      </c>
      <c r="B237" s="26">
        <v>41</v>
      </c>
      <c r="C237" s="26">
        <v>27</v>
      </c>
      <c r="D237" s="26">
        <v>1</v>
      </c>
      <c r="E237" s="26">
        <v>73</v>
      </c>
      <c r="F237" s="28" t="str">
        <f>PROPER(nutrition!$H237)</f>
        <v>Daun Bebuas Segar</v>
      </c>
      <c r="G237" s="26" t="str">
        <f>IF(nutrition!$B237&gt;300,"Tinggi Kalori",IF(nutrition!$B237&gt;100,"Kalori Sedang","Rendah Kalori"))</f>
        <v>Rendah Kalori</v>
      </c>
      <c r="H237" s="27" t="s">
        <v>241</v>
      </c>
    </row>
    <row r="238" spans="1:8" x14ac:dyDescent="0.3">
      <c r="A238" s="21">
        <v>237</v>
      </c>
      <c r="B238" s="22">
        <v>50</v>
      </c>
      <c r="C238" s="22">
        <v>44</v>
      </c>
      <c r="D238" s="22">
        <v>14</v>
      </c>
      <c r="E238" s="22">
        <v>78</v>
      </c>
      <c r="F238" s="24" t="str">
        <f>PROPER(nutrition!$H238)</f>
        <v>Daun Belem Segar</v>
      </c>
      <c r="G238" s="22" t="str">
        <f>IF(nutrition!$B238&gt;300,"Tinggi Kalori",IF(nutrition!$B238&gt;100,"Kalori Sedang","Rendah Kalori"))</f>
        <v>Rendah Kalori</v>
      </c>
      <c r="H238" s="23" t="s">
        <v>242</v>
      </c>
    </row>
    <row r="239" spans="1:8" x14ac:dyDescent="0.3">
      <c r="A239" s="25">
        <v>238</v>
      </c>
      <c r="B239" s="26">
        <v>42</v>
      </c>
      <c r="C239" s="26">
        <v>18</v>
      </c>
      <c r="D239" s="26">
        <v>5</v>
      </c>
      <c r="E239" s="26">
        <v>94</v>
      </c>
      <c r="F239" s="28" t="str">
        <f>PROPER(nutrition!$H239)</f>
        <v>Daun Beluntas</v>
      </c>
      <c r="G239" s="26" t="str">
        <f>IF(nutrition!$B239&gt;300,"Tinggi Kalori",IF(nutrition!$B239&gt;100,"Kalori Sedang","Rendah Kalori"))</f>
        <v>Rendah Kalori</v>
      </c>
      <c r="H239" s="27" t="s">
        <v>243</v>
      </c>
    </row>
    <row r="240" spans="1:8" x14ac:dyDescent="0.3">
      <c r="A240" s="21">
        <v>239</v>
      </c>
      <c r="B240" s="22">
        <v>122</v>
      </c>
      <c r="C240" s="22">
        <v>6</v>
      </c>
      <c r="D240" s="22">
        <v>1</v>
      </c>
      <c r="E240" s="22">
        <v>26</v>
      </c>
      <c r="F240" s="24" t="str">
        <f>PROPER(nutrition!$H240)</f>
        <v>Daun Cincau</v>
      </c>
      <c r="G240" s="22" t="str">
        <f>IF(nutrition!$B240&gt;300,"Tinggi Kalori",IF(nutrition!$B240&gt;100,"Kalori Sedang","Rendah Kalori"))</f>
        <v>Kalori Sedang</v>
      </c>
      <c r="H240" s="23" t="s">
        <v>244</v>
      </c>
    </row>
    <row r="241" spans="1:8" x14ac:dyDescent="0.3">
      <c r="A241" s="25">
        <v>240</v>
      </c>
      <c r="B241" s="26">
        <v>60</v>
      </c>
      <c r="C241" s="26">
        <v>31</v>
      </c>
      <c r="D241" s="26">
        <v>3</v>
      </c>
      <c r="E241" s="26">
        <v>14</v>
      </c>
      <c r="F241" s="28" t="str">
        <f>PROPER(nutrition!$H241)</f>
        <v>Daun Gandaria</v>
      </c>
      <c r="G241" s="26" t="str">
        <f>IF(nutrition!$B241&gt;300,"Tinggi Kalori",IF(nutrition!$B241&gt;100,"Kalori Sedang","Rendah Kalori"))</f>
        <v>Rendah Kalori</v>
      </c>
      <c r="H241" s="27" t="s">
        <v>245</v>
      </c>
    </row>
    <row r="242" spans="1:8" x14ac:dyDescent="0.3">
      <c r="A242" s="21">
        <v>241</v>
      </c>
      <c r="B242" s="22">
        <v>58</v>
      </c>
      <c r="C242" s="22">
        <v>29</v>
      </c>
      <c r="D242" s="22">
        <v>7</v>
      </c>
      <c r="E242" s="22">
        <v>10</v>
      </c>
      <c r="F242" s="24" t="str">
        <f>PROPER(nutrition!$H242)</f>
        <v>Daun Gedi Besar Segar</v>
      </c>
      <c r="G242" s="22" t="str">
        <f>IF(nutrition!$B242&gt;300,"Tinggi Kalori",IF(nutrition!$B242&gt;100,"Kalori Sedang","Rendah Kalori"))</f>
        <v>Rendah Kalori</v>
      </c>
      <c r="H242" s="23" t="s">
        <v>246</v>
      </c>
    </row>
    <row r="243" spans="1:8" x14ac:dyDescent="0.3">
      <c r="A243" s="25">
        <v>242</v>
      </c>
      <c r="B243" s="26">
        <v>30</v>
      </c>
      <c r="C243" s="26">
        <v>13</v>
      </c>
      <c r="D243" s="26">
        <v>7</v>
      </c>
      <c r="E243" s="26">
        <v>58</v>
      </c>
      <c r="F243" s="28" t="str">
        <f>PROPER(nutrition!$H243)</f>
        <v>Daun Gelang Segar</v>
      </c>
      <c r="G243" s="26" t="str">
        <f>IF(nutrition!$B243&gt;300,"Tinggi Kalori",IF(nutrition!$B243&gt;100,"Kalori Sedang","Rendah Kalori"))</f>
        <v>Rendah Kalori</v>
      </c>
      <c r="H243" s="27" t="s">
        <v>247</v>
      </c>
    </row>
    <row r="244" spans="1:8" x14ac:dyDescent="0.3">
      <c r="A244" s="21">
        <v>243</v>
      </c>
      <c r="B244" s="22">
        <v>50</v>
      </c>
      <c r="C244" s="22">
        <v>46</v>
      </c>
      <c r="D244" s="22">
        <v>9</v>
      </c>
      <c r="E244" s="22">
        <v>7</v>
      </c>
      <c r="F244" s="24" t="str">
        <f>PROPER(nutrition!$H244)</f>
        <v>Daun Gunda Bali Segar</v>
      </c>
      <c r="G244" s="22" t="str">
        <f>IF(nutrition!$B244&gt;300,"Tinggi Kalori",IF(nutrition!$B244&gt;100,"Kalori Sedang","Rendah Kalori"))</f>
        <v>Rendah Kalori</v>
      </c>
      <c r="H244" s="23" t="s">
        <v>248</v>
      </c>
    </row>
    <row r="245" spans="1:8" x14ac:dyDescent="0.3">
      <c r="A245" s="25">
        <v>244</v>
      </c>
      <c r="B245" s="26">
        <v>62</v>
      </c>
      <c r="C245" s="26">
        <v>42</v>
      </c>
      <c r="D245" s="26">
        <v>9</v>
      </c>
      <c r="E245" s="26">
        <v>92</v>
      </c>
      <c r="F245" s="28" t="str">
        <f>PROPER(nutrition!$H245)</f>
        <v>Daun Gunda Serang Segar</v>
      </c>
      <c r="G245" s="26" t="str">
        <f>IF(nutrition!$B245&gt;300,"Tinggi Kalori",IF(nutrition!$B245&gt;100,"Kalori Sedang","Rendah Kalori"))</f>
        <v>Rendah Kalori</v>
      </c>
      <c r="H245" s="27" t="s">
        <v>249</v>
      </c>
    </row>
    <row r="246" spans="1:8" x14ac:dyDescent="0.3">
      <c r="A246" s="21">
        <v>245</v>
      </c>
      <c r="B246" s="22">
        <v>73</v>
      </c>
      <c r="C246" s="22">
        <v>46</v>
      </c>
      <c r="D246" s="22">
        <v>5</v>
      </c>
      <c r="E246" s="22">
        <v>162</v>
      </c>
      <c r="F246" s="24" t="str">
        <f>PROPER(nutrition!$H246)</f>
        <v>Daun Jambu Mete Muda</v>
      </c>
      <c r="G246" s="22" t="str">
        <f>IF(nutrition!$B246&gt;300,"Tinggi Kalori",IF(nutrition!$B246&gt;100,"Kalori Sedang","Rendah Kalori"))</f>
        <v>Rendah Kalori</v>
      </c>
      <c r="H246" s="23" t="s">
        <v>250</v>
      </c>
    </row>
    <row r="247" spans="1:8" x14ac:dyDescent="0.3">
      <c r="A247" s="25">
        <v>246</v>
      </c>
      <c r="B247" s="26">
        <v>34</v>
      </c>
      <c r="C247" s="26">
        <v>38</v>
      </c>
      <c r="D247" s="26">
        <v>5</v>
      </c>
      <c r="E247" s="26">
        <v>53</v>
      </c>
      <c r="F247" s="28" t="str">
        <f>PROPER(nutrition!$H247)</f>
        <v>Daun Jampang Segar</v>
      </c>
      <c r="G247" s="26" t="str">
        <f>IF(nutrition!$B247&gt;300,"Tinggi Kalori",IF(nutrition!$B247&gt;100,"Kalori Sedang","Rendah Kalori"))</f>
        <v>Rendah Kalori</v>
      </c>
      <c r="H247" s="27" t="s">
        <v>251</v>
      </c>
    </row>
    <row r="248" spans="1:8" x14ac:dyDescent="0.3">
      <c r="A248" s="21">
        <v>247</v>
      </c>
      <c r="B248" s="22">
        <v>93</v>
      </c>
      <c r="C248" s="22">
        <v>5</v>
      </c>
      <c r="D248" s="22">
        <v>13</v>
      </c>
      <c r="E248" s="22">
        <v>153</v>
      </c>
      <c r="F248" s="24" t="str">
        <f>PROPER(nutrition!$H248)</f>
        <v>Daun Jawaw Seluang Segar</v>
      </c>
      <c r="G248" s="22" t="str">
        <f>IF(nutrition!$B248&gt;300,"Tinggi Kalori",IF(nutrition!$B248&gt;100,"Kalori Sedang","Rendah Kalori"))</f>
        <v>Rendah Kalori</v>
      </c>
      <c r="H248" s="23" t="s">
        <v>252</v>
      </c>
    </row>
    <row r="249" spans="1:8" x14ac:dyDescent="0.3">
      <c r="A249" s="25">
        <v>248</v>
      </c>
      <c r="B249" s="26">
        <v>27</v>
      </c>
      <c r="C249" s="26">
        <v>21</v>
      </c>
      <c r="D249" s="26">
        <v>7</v>
      </c>
      <c r="E249" s="26">
        <v>44</v>
      </c>
      <c r="F249" s="28" t="str">
        <f>PROPER(nutrition!$H249)</f>
        <v>Daun Jonghe Segar</v>
      </c>
      <c r="G249" s="26" t="str">
        <f>IF(nutrition!$B249&gt;300,"Tinggi Kalori",IF(nutrition!$B249&gt;100,"Kalori Sedang","Rendah Kalori"))</f>
        <v>Rendah Kalori</v>
      </c>
      <c r="H249" s="27" t="s">
        <v>253</v>
      </c>
    </row>
    <row r="250" spans="1:8" x14ac:dyDescent="0.3">
      <c r="A250" s="21">
        <v>249</v>
      </c>
      <c r="B250" s="22">
        <v>36</v>
      </c>
      <c r="C250" s="22">
        <v>29</v>
      </c>
      <c r="D250" s="22">
        <v>6</v>
      </c>
      <c r="E250" s="22">
        <v>68</v>
      </c>
      <c r="F250" s="24" t="str">
        <f>PROPER(nutrition!$H250)</f>
        <v>Daun Kacang Ma Segar</v>
      </c>
      <c r="G250" s="22" t="str">
        <f>IF(nutrition!$B250&gt;300,"Tinggi Kalori",IF(nutrition!$B250&gt;100,"Kalori Sedang","Rendah Kalori"))</f>
        <v>Rendah Kalori</v>
      </c>
      <c r="H250" s="23" t="s">
        <v>254</v>
      </c>
    </row>
    <row r="251" spans="1:8" x14ac:dyDescent="0.3">
      <c r="A251" s="25">
        <v>250</v>
      </c>
      <c r="B251" s="26">
        <v>34</v>
      </c>
      <c r="C251" s="26">
        <v>41</v>
      </c>
      <c r="D251" s="26">
        <v>4</v>
      </c>
      <c r="E251" s="26">
        <v>58</v>
      </c>
      <c r="F251" s="28" t="str">
        <f>PROPER(nutrition!$H251)</f>
        <v>Daun Kacang Panjang</v>
      </c>
      <c r="G251" s="26" t="str">
        <f>IF(nutrition!$B251&gt;300,"Tinggi Kalori",IF(nutrition!$B251&gt;100,"Kalori Sedang","Rendah Kalori"))</f>
        <v>Rendah Kalori</v>
      </c>
      <c r="H251" s="27" t="s">
        <v>255</v>
      </c>
    </row>
    <row r="252" spans="1:8" x14ac:dyDescent="0.3">
      <c r="A252" s="21">
        <v>251</v>
      </c>
      <c r="B252" s="22">
        <v>40</v>
      </c>
      <c r="C252" s="22">
        <v>37</v>
      </c>
      <c r="D252" s="22">
        <v>3</v>
      </c>
      <c r="E252" s="22">
        <v>8</v>
      </c>
      <c r="F252" s="24" t="str">
        <f>PROPER(nutrition!$H252)</f>
        <v>Daun Kacang Panjang Kukus</v>
      </c>
      <c r="G252" s="22" t="str">
        <f>IF(nutrition!$B252&gt;300,"Tinggi Kalori",IF(nutrition!$B252&gt;100,"Kalori Sedang","Rendah Kalori"))</f>
        <v>Rendah Kalori</v>
      </c>
      <c r="H252" s="23" t="s">
        <v>256</v>
      </c>
    </row>
    <row r="253" spans="1:8" x14ac:dyDescent="0.3">
      <c r="A253" s="25">
        <v>252</v>
      </c>
      <c r="B253" s="26">
        <v>30</v>
      </c>
      <c r="C253" s="26">
        <v>31</v>
      </c>
      <c r="D253" s="26">
        <v>3</v>
      </c>
      <c r="E253" s="26">
        <v>58</v>
      </c>
      <c r="F253" s="28" t="str">
        <f>PROPER(nutrition!$H253)</f>
        <v>Daun Kacang Panjang Segar</v>
      </c>
      <c r="G253" s="26" t="str">
        <f>IF(nutrition!$B253&gt;300,"Tinggi Kalori",IF(nutrition!$B253&gt;100,"Kalori Sedang","Rendah Kalori"))</f>
        <v>Rendah Kalori</v>
      </c>
      <c r="H253" s="27" t="s">
        <v>257</v>
      </c>
    </row>
    <row r="254" spans="1:8" x14ac:dyDescent="0.3">
      <c r="A254" s="21">
        <v>253</v>
      </c>
      <c r="B254" s="22">
        <v>92</v>
      </c>
      <c r="C254" s="22">
        <v>4</v>
      </c>
      <c r="D254" s="22">
        <v>36</v>
      </c>
      <c r="E254" s="22">
        <v>109</v>
      </c>
      <c r="F254" s="24" t="str">
        <f>PROPER(nutrition!$H254)</f>
        <v>Daun Kasbi/Singkong Karet Segar</v>
      </c>
      <c r="G254" s="22" t="str">
        <f>IF(nutrition!$B254&gt;300,"Tinggi Kalori",IF(nutrition!$B254&gt;100,"Kalori Sedang","Rendah Kalori"))</f>
        <v>Rendah Kalori</v>
      </c>
      <c r="H254" s="23" t="s">
        <v>258</v>
      </c>
    </row>
    <row r="255" spans="1:8" x14ac:dyDescent="0.3">
      <c r="A255" s="25">
        <v>254</v>
      </c>
      <c r="B255" s="26">
        <v>59</v>
      </c>
      <c r="C255" s="26">
        <v>48</v>
      </c>
      <c r="D255" s="26">
        <v>1</v>
      </c>
      <c r="E255" s="26">
        <v>11</v>
      </c>
      <c r="F255" s="28" t="str">
        <f>PROPER(nutrition!$H255)</f>
        <v>Daun Katuk</v>
      </c>
      <c r="G255" s="26" t="str">
        <f>IF(nutrition!$B255&gt;300,"Tinggi Kalori",IF(nutrition!$B255&gt;100,"Kalori Sedang","Rendah Kalori"))</f>
        <v>Rendah Kalori</v>
      </c>
      <c r="H255" s="27" t="s">
        <v>259</v>
      </c>
    </row>
    <row r="256" spans="1:8" x14ac:dyDescent="0.3">
      <c r="A256" s="21">
        <v>255</v>
      </c>
      <c r="B256" s="22">
        <v>53</v>
      </c>
      <c r="C256" s="22">
        <v>53</v>
      </c>
      <c r="D256" s="22">
        <v>9</v>
      </c>
      <c r="E256" s="22">
        <v>91</v>
      </c>
      <c r="F256" s="24" t="str">
        <f>PROPER(nutrition!$H256)</f>
        <v>Daun Katuk Rebus</v>
      </c>
      <c r="G256" s="22" t="str">
        <f>IF(nutrition!$B256&gt;300,"Tinggi Kalori",IF(nutrition!$B256&gt;100,"Kalori Sedang","Rendah Kalori"))</f>
        <v>Rendah Kalori</v>
      </c>
      <c r="H256" s="23" t="s">
        <v>260</v>
      </c>
    </row>
    <row r="257" spans="1:8" x14ac:dyDescent="0.3">
      <c r="A257" s="25">
        <v>256</v>
      </c>
      <c r="B257" s="26">
        <v>59</v>
      </c>
      <c r="C257" s="26">
        <v>64</v>
      </c>
      <c r="D257" s="26">
        <v>1</v>
      </c>
      <c r="E257" s="26">
        <v>99</v>
      </c>
      <c r="F257" s="28" t="str">
        <f>PROPER(nutrition!$H257)</f>
        <v>Daun Katuk Segar</v>
      </c>
      <c r="G257" s="26" t="str">
        <f>IF(nutrition!$B257&gt;300,"Tinggi Kalori",IF(nutrition!$B257&gt;100,"Kalori Sedang","Rendah Kalori"))</f>
        <v>Rendah Kalori</v>
      </c>
      <c r="H257" s="27" t="s">
        <v>261</v>
      </c>
    </row>
    <row r="258" spans="1:8" x14ac:dyDescent="0.3">
      <c r="A258" s="21">
        <v>257</v>
      </c>
      <c r="B258" s="22">
        <v>47</v>
      </c>
      <c r="C258" s="22">
        <v>5</v>
      </c>
      <c r="D258" s="22">
        <v>5</v>
      </c>
      <c r="E258" s="22">
        <v>85</v>
      </c>
      <c r="F258" s="24" t="str">
        <f>PROPER(nutrition!$H258)</f>
        <v>Daun Kecipir</v>
      </c>
      <c r="G258" s="22" t="str">
        <f>IF(nutrition!$B258&gt;300,"Tinggi Kalori",IF(nutrition!$B258&gt;100,"Kalori Sedang","Rendah Kalori"))</f>
        <v>Rendah Kalori</v>
      </c>
      <c r="H258" s="23" t="s">
        <v>262</v>
      </c>
    </row>
    <row r="259" spans="1:8" x14ac:dyDescent="0.3">
      <c r="A259" s="25">
        <v>258</v>
      </c>
      <c r="B259" s="26">
        <v>59</v>
      </c>
      <c r="C259" s="26">
        <v>28</v>
      </c>
      <c r="D259" s="26">
        <v>3</v>
      </c>
      <c r="E259" s="26">
        <v>134</v>
      </c>
      <c r="F259" s="28" t="str">
        <f>PROPER(nutrition!$H259)</f>
        <v>Daun Kedondong</v>
      </c>
      <c r="G259" s="26" t="str">
        <f>IF(nutrition!$B259&gt;300,"Tinggi Kalori",IF(nutrition!$B259&gt;100,"Kalori Sedang","Rendah Kalori"))</f>
        <v>Rendah Kalori</v>
      </c>
      <c r="H259" s="27" t="s">
        <v>263</v>
      </c>
    </row>
    <row r="260" spans="1:8" x14ac:dyDescent="0.3">
      <c r="A260" s="21">
        <v>259</v>
      </c>
      <c r="B260" s="22">
        <v>82</v>
      </c>
      <c r="C260" s="22">
        <v>67</v>
      </c>
      <c r="D260" s="22">
        <v>17</v>
      </c>
      <c r="E260" s="22">
        <v>143</v>
      </c>
      <c r="F260" s="24" t="str">
        <f>PROPER(nutrition!$H260)</f>
        <v>Daun Kelor</v>
      </c>
      <c r="G260" s="22" t="str">
        <f>IF(nutrition!$B260&gt;300,"Tinggi Kalori",IF(nutrition!$B260&gt;100,"Kalori Sedang","Rendah Kalori"))</f>
        <v>Rendah Kalori</v>
      </c>
      <c r="H260" s="23" t="s">
        <v>264</v>
      </c>
    </row>
    <row r="261" spans="1:8" x14ac:dyDescent="0.3">
      <c r="A261" s="25">
        <v>260</v>
      </c>
      <c r="B261" s="26">
        <v>61</v>
      </c>
      <c r="C261" s="26">
        <v>61</v>
      </c>
      <c r="D261" s="26">
        <v>9</v>
      </c>
      <c r="E261" s="26">
        <v>10</v>
      </c>
      <c r="F261" s="28" t="str">
        <f>PROPER(nutrition!$H261)</f>
        <v>Daun Kelor Rebus</v>
      </c>
      <c r="G261" s="26" t="str">
        <f>IF(nutrition!$B261&gt;300,"Tinggi Kalori",IF(nutrition!$B261&gt;100,"Kalori Sedang","Rendah Kalori"))</f>
        <v>Rendah Kalori</v>
      </c>
      <c r="H261" s="27" t="s">
        <v>265</v>
      </c>
    </row>
    <row r="262" spans="1:8" x14ac:dyDescent="0.3">
      <c r="A262" s="21">
        <v>261</v>
      </c>
      <c r="B262" s="22">
        <v>46</v>
      </c>
      <c r="C262" s="22">
        <v>4</v>
      </c>
      <c r="D262" s="22">
        <v>5</v>
      </c>
      <c r="E262" s="22">
        <v>89</v>
      </c>
      <c r="F262" s="24" t="str">
        <f>PROPER(nutrition!$H262)</f>
        <v>Daun Kemangi</v>
      </c>
      <c r="G262" s="22" t="str">
        <f>IF(nutrition!$B262&gt;300,"Tinggi Kalori",IF(nutrition!$B262&gt;100,"Kalori Sedang","Rendah Kalori"))</f>
        <v>Rendah Kalori</v>
      </c>
      <c r="H262" s="23" t="s">
        <v>266</v>
      </c>
    </row>
    <row r="263" spans="1:8" x14ac:dyDescent="0.3">
      <c r="A263" s="25">
        <v>262</v>
      </c>
      <c r="B263" s="26">
        <v>45</v>
      </c>
      <c r="C263" s="26">
        <v>37</v>
      </c>
      <c r="D263" s="26">
        <v>5</v>
      </c>
      <c r="E263" s="26">
        <v>66</v>
      </c>
      <c r="F263" s="28" t="str">
        <f>PROPER(nutrition!$H263)</f>
        <v>Daun Kenikir Segar</v>
      </c>
      <c r="G263" s="26" t="str">
        <f>IF(nutrition!$B263&gt;300,"Tinggi Kalori",IF(nutrition!$B263&gt;100,"Kalori Sedang","Rendah Kalori"))</f>
        <v>Rendah Kalori</v>
      </c>
      <c r="H263" s="27" t="s">
        <v>267</v>
      </c>
    </row>
    <row r="264" spans="1:8" x14ac:dyDescent="0.3">
      <c r="A264" s="21">
        <v>263</v>
      </c>
      <c r="B264" s="22">
        <v>48</v>
      </c>
      <c r="C264" s="22">
        <v>45</v>
      </c>
      <c r="D264" s="22">
        <v>8</v>
      </c>
      <c r="E264" s="22">
        <v>91</v>
      </c>
      <c r="F264" s="24" t="str">
        <f>PROPER(nutrition!$H264)</f>
        <v>Daun Kesum Segar</v>
      </c>
      <c r="G264" s="22" t="str">
        <f>IF(nutrition!$B264&gt;300,"Tinggi Kalori",IF(nutrition!$B264&gt;100,"Kalori Sedang","Rendah Kalori"))</f>
        <v>Rendah Kalori</v>
      </c>
      <c r="H264" s="23" t="s">
        <v>268</v>
      </c>
    </row>
    <row r="265" spans="1:8" x14ac:dyDescent="0.3">
      <c r="A265" s="25">
        <v>264</v>
      </c>
      <c r="B265" s="26">
        <v>22</v>
      </c>
      <c r="C265" s="26">
        <v>21</v>
      </c>
      <c r="D265" s="26">
        <v>5</v>
      </c>
      <c r="E265" s="26">
        <v>36</v>
      </c>
      <c r="F265" s="28" t="str">
        <f>PROPER(nutrition!$H265)</f>
        <v>Daun Kol Sawi Segar</v>
      </c>
      <c r="G265" s="26" t="str">
        <f>IF(nutrition!$B265&gt;300,"Tinggi Kalori",IF(nutrition!$B265&gt;100,"Kalori Sedang","Rendah Kalori"))</f>
        <v>Rendah Kalori</v>
      </c>
      <c r="H265" s="27" t="s">
        <v>269</v>
      </c>
    </row>
    <row r="266" spans="1:8" x14ac:dyDescent="0.3">
      <c r="A266" s="21">
        <v>265</v>
      </c>
      <c r="B266" s="22">
        <v>23</v>
      </c>
      <c r="C266" s="22">
        <v>3</v>
      </c>
      <c r="D266" s="22">
        <v>3</v>
      </c>
      <c r="E266" s="22">
        <v>37</v>
      </c>
      <c r="F266" s="24" t="str">
        <f>PROPER(nutrition!$H266)</f>
        <v>Daun Koro</v>
      </c>
      <c r="G266" s="22" t="str">
        <f>IF(nutrition!$B266&gt;300,"Tinggi Kalori",IF(nutrition!$B266&gt;100,"Kalori Sedang","Rendah Kalori"))</f>
        <v>Rendah Kalori</v>
      </c>
      <c r="H266" s="23" t="s">
        <v>270</v>
      </c>
    </row>
    <row r="267" spans="1:8" x14ac:dyDescent="0.3">
      <c r="A267" s="25">
        <v>266</v>
      </c>
      <c r="B267" s="26">
        <v>51</v>
      </c>
      <c r="C267" s="26">
        <v>25</v>
      </c>
      <c r="D267" s="26">
        <v>11</v>
      </c>
      <c r="E267" s="26">
        <v>8</v>
      </c>
      <c r="F267" s="28" t="str">
        <f>PROPER(nutrition!$H267)</f>
        <v>Daun Kubis Segar</v>
      </c>
      <c r="G267" s="26" t="str">
        <f>IF(nutrition!$B267&gt;300,"Tinggi Kalori",IF(nutrition!$B267&gt;100,"Kalori Sedang","Rendah Kalori"))</f>
        <v>Rendah Kalori</v>
      </c>
      <c r="H267" s="27" t="s">
        <v>271</v>
      </c>
    </row>
    <row r="268" spans="1:8" x14ac:dyDescent="0.3">
      <c r="A268" s="21">
        <v>267</v>
      </c>
      <c r="B268" s="22">
        <v>14</v>
      </c>
      <c r="C268" s="22">
        <v>13</v>
      </c>
      <c r="D268" s="22">
        <v>3</v>
      </c>
      <c r="E268" s="22">
        <v>23</v>
      </c>
      <c r="F268" s="24" t="str">
        <f>PROPER(nutrition!$H268)</f>
        <v>Daun Kumak</v>
      </c>
      <c r="G268" s="22" t="str">
        <f>IF(nutrition!$B268&gt;300,"Tinggi Kalori",IF(nutrition!$B268&gt;100,"Kalori Sedang","Rendah Kalori"))</f>
        <v>Rendah Kalori</v>
      </c>
      <c r="H268" s="23" t="s">
        <v>272</v>
      </c>
    </row>
    <row r="269" spans="1:8" x14ac:dyDescent="0.3">
      <c r="A269" s="25">
        <v>268</v>
      </c>
      <c r="B269" s="26">
        <v>60</v>
      </c>
      <c r="C269" s="26">
        <v>4</v>
      </c>
      <c r="D269" s="26">
        <v>4</v>
      </c>
      <c r="E269" s="26">
        <v>47</v>
      </c>
      <c r="F269" s="28" t="str">
        <f>PROPER(nutrition!$H269)</f>
        <v>Daun Labu Siam</v>
      </c>
      <c r="G269" s="26" t="str">
        <f>IF(nutrition!$B269&gt;300,"Tinggi Kalori",IF(nutrition!$B269&gt;100,"Kalori Sedang","Rendah Kalori"))</f>
        <v>Rendah Kalori</v>
      </c>
      <c r="H269" s="27" t="s">
        <v>273</v>
      </c>
    </row>
    <row r="270" spans="1:8" x14ac:dyDescent="0.3">
      <c r="A270" s="21">
        <v>269</v>
      </c>
      <c r="B270" s="22">
        <v>30</v>
      </c>
      <c r="C270" s="22">
        <v>36</v>
      </c>
      <c r="D270" s="22">
        <v>6</v>
      </c>
      <c r="E270" s="22">
        <v>45</v>
      </c>
      <c r="F270" s="24" t="str">
        <f>PROPER(nutrition!$H270)</f>
        <v>Daun Labu Waluh</v>
      </c>
      <c r="G270" s="22" t="str">
        <f>IF(nutrition!$B270&gt;300,"Tinggi Kalori",IF(nutrition!$B270&gt;100,"Kalori Sedang","Rendah Kalori"))</f>
        <v>Rendah Kalori</v>
      </c>
      <c r="H270" s="23" t="s">
        <v>274</v>
      </c>
    </row>
    <row r="271" spans="1:8" x14ac:dyDescent="0.3">
      <c r="A271" s="25">
        <v>270</v>
      </c>
      <c r="B271" s="26">
        <v>87</v>
      </c>
      <c r="C271" s="26">
        <v>83</v>
      </c>
      <c r="D271" s="26">
        <v>18</v>
      </c>
      <c r="E271" s="26">
        <v>144</v>
      </c>
      <c r="F271" s="28" t="str">
        <f>PROPER(nutrition!$H271)</f>
        <v>Daun Lamtoro Segar</v>
      </c>
      <c r="G271" s="26" t="str">
        <f>IF(nutrition!$B271&gt;300,"Tinggi Kalori",IF(nutrition!$B271&gt;100,"Kalori Sedang","Rendah Kalori"))</f>
        <v>Rendah Kalori</v>
      </c>
      <c r="H271" s="27" t="s">
        <v>275</v>
      </c>
    </row>
    <row r="272" spans="1:8" x14ac:dyDescent="0.3">
      <c r="A272" s="21">
        <v>271</v>
      </c>
      <c r="B272" s="22">
        <v>76</v>
      </c>
      <c r="C272" s="22">
        <v>28</v>
      </c>
      <c r="D272" s="22">
        <v>2</v>
      </c>
      <c r="E272" s="22">
        <v>158</v>
      </c>
      <c r="F272" s="24" t="str">
        <f>PROPER(nutrition!$H272)</f>
        <v>Daun Leilem Segar</v>
      </c>
      <c r="G272" s="22" t="str">
        <f>IF(nutrition!$B272&gt;300,"Tinggi Kalori",IF(nutrition!$B272&gt;100,"Kalori Sedang","Rendah Kalori"))</f>
        <v>Rendah Kalori</v>
      </c>
      <c r="H272" s="23" t="s">
        <v>276</v>
      </c>
    </row>
    <row r="273" spans="1:8" x14ac:dyDescent="0.3">
      <c r="A273" s="25">
        <v>272</v>
      </c>
      <c r="B273" s="26">
        <v>45</v>
      </c>
      <c r="C273" s="26">
        <v>47</v>
      </c>
      <c r="D273" s="26">
        <v>5</v>
      </c>
      <c r="E273" s="26">
        <v>81</v>
      </c>
      <c r="F273" s="28" t="str">
        <f>PROPER(nutrition!$H273)</f>
        <v>Daun Leunca</v>
      </c>
      <c r="G273" s="26" t="str">
        <f>IF(nutrition!$B273&gt;300,"Tinggi Kalori",IF(nutrition!$B273&gt;100,"Kalori Sedang","Rendah Kalori"))</f>
        <v>Rendah Kalori</v>
      </c>
      <c r="H273" s="27" t="s">
        <v>277</v>
      </c>
    </row>
    <row r="274" spans="1:8" x14ac:dyDescent="0.3">
      <c r="A274" s="21">
        <v>273</v>
      </c>
      <c r="B274" s="22">
        <v>30</v>
      </c>
      <c r="C274" s="22">
        <v>23</v>
      </c>
      <c r="D274" s="22">
        <v>4</v>
      </c>
      <c r="E274" s="22">
        <v>58</v>
      </c>
      <c r="F274" s="24" t="str">
        <f>PROPER(nutrition!$H274)</f>
        <v>Daun Lobak</v>
      </c>
      <c r="G274" s="22" t="str">
        <f>IF(nutrition!$B274&gt;300,"Tinggi Kalori",IF(nutrition!$B274&gt;100,"Kalori Sedang","Rendah Kalori"))</f>
        <v>Rendah Kalori</v>
      </c>
      <c r="H274" s="23" t="s">
        <v>278</v>
      </c>
    </row>
    <row r="275" spans="1:8" x14ac:dyDescent="0.3">
      <c r="A275" s="25">
        <v>274</v>
      </c>
      <c r="B275" s="26">
        <v>40</v>
      </c>
      <c r="C275" s="26">
        <v>3</v>
      </c>
      <c r="D275" s="26">
        <v>8</v>
      </c>
      <c r="E275" s="26">
        <v>74</v>
      </c>
      <c r="F275" s="28" t="str">
        <f>PROPER(nutrition!$H275)</f>
        <v>Daun Lompong Tales</v>
      </c>
      <c r="G275" s="26" t="str">
        <f>IF(nutrition!$B275&gt;300,"Tinggi Kalori",IF(nutrition!$B275&gt;100,"Kalori Sedang","Rendah Kalori"))</f>
        <v>Rendah Kalori</v>
      </c>
      <c r="H275" s="27" t="s">
        <v>279</v>
      </c>
    </row>
    <row r="276" spans="1:8" x14ac:dyDescent="0.3">
      <c r="A276" s="21">
        <v>275</v>
      </c>
      <c r="B276" s="22">
        <v>54</v>
      </c>
      <c r="C276" s="22">
        <v>37</v>
      </c>
      <c r="D276" s="22">
        <v>3</v>
      </c>
      <c r="E276" s="22">
        <v>118</v>
      </c>
      <c r="F276" s="24" t="str">
        <f>PROPER(nutrition!$H276)</f>
        <v>Daun Mangkokan</v>
      </c>
      <c r="G276" s="22" t="str">
        <f>IF(nutrition!$B276&gt;300,"Tinggi Kalori",IF(nutrition!$B276&gt;100,"Kalori Sedang","Rendah Kalori"))</f>
        <v>Rendah Kalori</v>
      </c>
      <c r="H276" s="23" t="s">
        <v>280</v>
      </c>
    </row>
    <row r="277" spans="1:8" x14ac:dyDescent="0.3">
      <c r="A277" s="25">
        <v>276</v>
      </c>
      <c r="B277" s="26">
        <v>71</v>
      </c>
      <c r="C277" s="26">
        <v>68</v>
      </c>
      <c r="D277" s="26">
        <v>16</v>
      </c>
      <c r="E277" s="26">
        <v>115</v>
      </c>
      <c r="F277" s="28" t="str">
        <f>PROPER(nutrition!$H277)</f>
        <v>Daun Matel Ambon Segar</v>
      </c>
      <c r="G277" s="26" t="str">
        <f>IF(nutrition!$B277&gt;300,"Tinggi Kalori",IF(nutrition!$B277&gt;100,"Kalori Sedang","Rendah Kalori"))</f>
        <v>Rendah Kalori</v>
      </c>
      <c r="H277" s="27" t="s">
        <v>281</v>
      </c>
    </row>
    <row r="278" spans="1:8" x14ac:dyDescent="0.3">
      <c r="A278" s="21">
        <v>277</v>
      </c>
      <c r="B278" s="22">
        <v>99</v>
      </c>
      <c r="C278" s="22">
        <v>5</v>
      </c>
      <c r="D278" s="22">
        <v>13</v>
      </c>
      <c r="E278" s="22">
        <v>213</v>
      </c>
      <c r="F278" s="24" t="str">
        <f>PROPER(nutrition!$H278)</f>
        <v>Daun Melinjo</v>
      </c>
      <c r="G278" s="22" t="str">
        <f>IF(nutrition!$B278&gt;300,"Tinggi Kalori",IF(nutrition!$B278&gt;100,"Kalori Sedang","Rendah Kalori"))</f>
        <v>Rendah Kalori</v>
      </c>
      <c r="H278" s="23" t="s">
        <v>282</v>
      </c>
    </row>
    <row r="279" spans="1:8" x14ac:dyDescent="0.3">
      <c r="A279" s="25">
        <v>278</v>
      </c>
      <c r="B279" s="26">
        <v>63</v>
      </c>
      <c r="C279" s="26">
        <v>38</v>
      </c>
      <c r="D279" s="26">
        <v>15</v>
      </c>
      <c r="E279" s="26">
        <v>115</v>
      </c>
      <c r="F279" s="28" t="str">
        <f>PROPER(nutrition!$H279)</f>
        <v>Daun Mengkudu Kukus</v>
      </c>
      <c r="G279" s="26" t="str">
        <f>IF(nutrition!$B279&gt;300,"Tinggi Kalori",IF(nutrition!$B279&gt;100,"Kalori Sedang","Rendah Kalori"))</f>
        <v>Rendah Kalori</v>
      </c>
      <c r="H279" s="27" t="s">
        <v>283</v>
      </c>
    </row>
    <row r="280" spans="1:8" x14ac:dyDescent="0.3">
      <c r="A280" s="21">
        <v>279</v>
      </c>
      <c r="B280" s="22">
        <v>166</v>
      </c>
      <c r="C280" s="22">
        <v>17</v>
      </c>
      <c r="D280" s="22">
        <v>5</v>
      </c>
      <c r="E280" s="22">
        <v>388</v>
      </c>
      <c r="F280" s="24" t="str">
        <f>PROPER(nutrition!$H280)</f>
        <v>Daun Ndusuk Segar</v>
      </c>
      <c r="G280" s="22" t="str">
        <f>IF(nutrition!$B280&gt;300,"Tinggi Kalori",IF(nutrition!$B280&gt;100,"Kalori Sedang","Rendah Kalori"))</f>
        <v>Kalori Sedang</v>
      </c>
      <c r="H280" s="23" t="s">
        <v>284</v>
      </c>
    </row>
    <row r="281" spans="1:8" x14ac:dyDescent="0.3">
      <c r="A281" s="25">
        <v>280</v>
      </c>
      <c r="B281" s="26">
        <v>22</v>
      </c>
      <c r="C281" s="26">
        <v>1</v>
      </c>
      <c r="D281" s="26">
        <v>1</v>
      </c>
      <c r="E281" s="26">
        <v>53</v>
      </c>
      <c r="F281" s="28" t="str">
        <f>PROPER(nutrition!$H281)</f>
        <v>Daun Oyong</v>
      </c>
      <c r="G281" s="26" t="str">
        <f>IF(nutrition!$B281&gt;300,"Tinggi Kalori",IF(nutrition!$B281&gt;100,"Kalori Sedang","Rendah Kalori"))</f>
        <v>Rendah Kalori</v>
      </c>
      <c r="H281" s="27" t="s">
        <v>285</v>
      </c>
    </row>
    <row r="282" spans="1:8" x14ac:dyDescent="0.3">
      <c r="A282" s="21">
        <v>281</v>
      </c>
      <c r="B282" s="22">
        <v>22</v>
      </c>
      <c r="C282" s="22">
        <v>1</v>
      </c>
      <c r="D282" s="22">
        <v>1</v>
      </c>
      <c r="E282" s="22">
        <v>53</v>
      </c>
      <c r="F282" s="24" t="str">
        <f>PROPER(nutrition!$H282)</f>
        <v>Daun Oyong Segar</v>
      </c>
      <c r="G282" s="22" t="str">
        <f>IF(nutrition!$B282&gt;300,"Tinggi Kalori",IF(nutrition!$B282&gt;100,"Kalori Sedang","Rendah Kalori"))</f>
        <v>Rendah Kalori</v>
      </c>
      <c r="H282" s="23" t="s">
        <v>286</v>
      </c>
    </row>
    <row r="283" spans="1:8" x14ac:dyDescent="0.3">
      <c r="A283" s="25">
        <v>282</v>
      </c>
      <c r="B283" s="26">
        <v>35</v>
      </c>
      <c r="C283" s="26">
        <v>4</v>
      </c>
      <c r="D283" s="26">
        <v>3</v>
      </c>
      <c r="E283" s="26">
        <v>64</v>
      </c>
      <c r="F283" s="28" t="str">
        <f>PROPER(nutrition!$H283)</f>
        <v>Daun Pakis</v>
      </c>
      <c r="G283" s="26" t="str">
        <f>IF(nutrition!$B283&gt;300,"Tinggi Kalori",IF(nutrition!$B283&gt;100,"Kalori Sedang","Rendah Kalori"))</f>
        <v>Rendah Kalori</v>
      </c>
      <c r="H283" s="27" t="s">
        <v>287</v>
      </c>
    </row>
    <row r="284" spans="1:8" x14ac:dyDescent="0.3">
      <c r="A284" s="21">
        <v>283</v>
      </c>
      <c r="B284" s="22">
        <v>54</v>
      </c>
      <c r="C284" s="22">
        <v>22</v>
      </c>
      <c r="D284" s="22">
        <v>36</v>
      </c>
      <c r="E284" s="22">
        <v>31</v>
      </c>
      <c r="F284" s="24" t="str">
        <f>PROPER(nutrition!$H284)</f>
        <v>Daun Pakis Longgiho Segar</v>
      </c>
      <c r="G284" s="22" t="str">
        <f>IF(nutrition!$B284&gt;300,"Tinggi Kalori",IF(nutrition!$B284&gt;100,"Kalori Sedang","Rendah Kalori"))</f>
        <v>Rendah Kalori</v>
      </c>
      <c r="H284" s="23" t="s">
        <v>288</v>
      </c>
    </row>
    <row r="285" spans="1:8" x14ac:dyDescent="0.3">
      <c r="A285" s="25">
        <v>284</v>
      </c>
      <c r="B285" s="26">
        <v>39</v>
      </c>
      <c r="C285" s="26">
        <v>45</v>
      </c>
      <c r="D285" s="26">
        <v>4</v>
      </c>
      <c r="E285" s="26">
        <v>69</v>
      </c>
      <c r="F285" s="28" t="str">
        <f>PROPER(nutrition!$H285)</f>
        <v>Daun Pakis Segar</v>
      </c>
      <c r="G285" s="26" t="str">
        <f>IF(nutrition!$B285&gt;300,"Tinggi Kalori",IF(nutrition!$B285&gt;100,"Kalori Sedang","Rendah Kalori"))</f>
        <v>Rendah Kalori</v>
      </c>
      <c r="H285" s="27" t="s">
        <v>289</v>
      </c>
    </row>
    <row r="286" spans="1:8" x14ac:dyDescent="0.3">
      <c r="A286" s="21">
        <v>285</v>
      </c>
      <c r="B286" s="22">
        <v>53</v>
      </c>
      <c r="C286" s="22">
        <v>34</v>
      </c>
      <c r="D286" s="22">
        <v>12</v>
      </c>
      <c r="E286" s="22">
        <v>72</v>
      </c>
      <c r="F286" s="24" t="str">
        <f>PROPER(nutrition!$H286)</f>
        <v>Daun Pakis Wambateu Segar</v>
      </c>
      <c r="G286" s="22" t="str">
        <f>IF(nutrition!$B286&gt;300,"Tinggi Kalori",IF(nutrition!$B286&gt;100,"Kalori Sedang","Rendah Kalori"))</f>
        <v>Rendah Kalori</v>
      </c>
      <c r="H286" s="23" t="s">
        <v>290</v>
      </c>
    </row>
    <row r="287" spans="1:8" x14ac:dyDescent="0.3">
      <c r="A287" s="25">
        <v>286</v>
      </c>
      <c r="B287" s="26">
        <v>29</v>
      </c>
      <c r="C287" s="26">
        <v>34</v>
      </c>
      <c r="D287" s="26">
        <v>1</v>
      </c>
      <c r="E287" s="26">
        <v>65</v>
      </c>
      <c r="F287" s="28" t="str">
        <f>PROPER(nutrition!$H287)</f>
        <v>Daun Paku Segar</v>
      </c>
      <c r="G287" s="26" t="str">
        <f>IF(nutrition!$B287&gt;300,"Tinggi Kalori",IF(nutrition!$B287&gt;100,"Kalori Sedang","Rendah Kalori"))</f>
        <v>Rendah Kalori</v>
      </c>
      <c r="H287" s="27" t="s">
        <v>291</v>
      </c>
    </row>
    <row r="288" spans="1:8" x14ac:dyDescent="0.3">
      <c r="A288" s="21">
        <v>287</v>
      </c>
      <c r="B288" s="22">
        <v>104</v>
      </c>
      <c r="C288" s="22">
        <v>39</v>
      </c>
      <c r="D288" s="22">
        <v>6</v>
      </c>
      <c r="E288" s="22">
        <v>179</v>
      </c>
      <c r="F288" s="24" t="str">
        <f>PROPER(nutrition!$H288)</f>
        <v>Daun Pangisegar</v>
      </c>
      <c r="G288" s="22" t="str">
        <f>IF(nutrition!$B288&gt;300,"Tinggi Kalori",IF(nutrition!$B288&gt;100,"Kalori Sedang","Rendah Kalori"))</f>
        <v>Kalori Sedang</v>
      </c>
      <c r="H288" s="23" t="s">
        <v>292</v>
      </c>
    </row>
    <row r="289" spans="1:8" x14ac:dyDescent="0.3">
      <c r="A289" s="25">
        <v>288</v>
      </c>
      <c r="B289" s="26">
        <v>49</v>
      </c>
      <c r="C289" s="26">
        <v>27</v>
      </c>
      <c r="D289" s="26">
        <v>1</v>
      </c>
      <c r="E289" s="26">
        <v>84</v>
      </c>
      <c r="F289" s="28" t="str">
        <f>PROPER(nutrition!$H289)</f>
        <v>Daun Pare Segar</v>
      </c>
      <c r="G289" s="26" t="str">
        <f>IF(nutrition!$B289&gt;300,"Tinggi Kalori",IF(nutrition!$B289&gt;100,"Kalori Sedang","Rendah Kalori"))</f>
        <v>Rendah Kalori</v>
      </c>
      <c r="H289" s="27" t="s">
        <v>293</v>
      </c>
    </row>
    <row r="290" spans="1:8" x14ac:dyDescent="0.3">
      <c r="A290" s="21">
        <v>289</v>
      </c>
      <c r="B290" s="22">
        <v>87</v>
      </c>
      <c r="C290" s="22">
        <v>8</v>
      </c>
      <c r="D290" s="22">
        <v>2</v>
      </c>
      <c r="E290" s="22">
        <v>119</v>
      </c>
      <c r="F290" s="24" t="str">
        <f>PROPER(nutrition!$H290)</f>
        <v>Daun Pepaya Segar</v>
      </c>
      <c r="G290" s="22" t="str">
        <f>IF(nutrition!$B290&gt;300,"Tinggi Kalori",IF(nutrition!$B290&gt;100,"Kalori Sedang","Rendah Kalori"))</f>
        <v>Rendah Kalori</v>
      </c>
      <c r="H290" s="23" t="s">
        <v>294</v>
      </c>
    </row>
    <row r="291" spans="1:8" x14ac:dyDescent="0.3">
      <c r="A291" s="25">
        <v>290</v>
      </c>
      <c r="B291" s="26">
        <v>128</v>
      </c>
      <c r="C291" s="26">
        <v>12</v>
      </c>
      <c r="D291" s="26">
        <v>65</v>
      </c>
      <c r="E291" s="26">
        <v>124</v>
      </c>
      <c r="F291" s="28" t="str">
        <f>PROPER(nutrition!$H291)</f>
        <v>Daun Pete Cina</v>
      </c>
      <c r="G291" s="26" t="str">
        <f>IF(nutrition!$B291&gt;300,"Tinggi Kalori",IF(nutrition!$B291&gt;100,"Kalori Sedang","Rendah Kalori"))</f>
        <v>Kalori Sedang</v>
      </c>
      <c r="H291" s="27" t="s">
        <v>295</v>
      </c>
    </row>
    <row r="292" spans="1:8" x14ac:dyDescent="0.3">
      <c r="A292" s="21">
        <v>291</v>
      </c>
      <c r="B292" s="22">
        <v>37</v>
      </c>
      <c r="C292" s="22">
        <v>25</v>
      </c>
      <c r="D292" s="22">
        <v>8</v>
      </c>
      <c r="E292" s="22">
        <v>69</v>
      </c>
      <c r="F292" s="24" t="str">
        <f>PROPER(nutrition!$H292)</f>
        <v>Daun Poh-Pohan</v>
      </c>
      <c r="G292" s="22" t="str">
        <f>IF(nutrition!$B292&gt;300,"Tinggi Kalori",IF(nutrition!$B292&gt;100,"Kalori Sedang","Rendah Kalori"))</f>
        <v>Rendah Kalori</v>
      </c>
      <c r="H292" s="23" t="s">
        <v>296</v>
      </c>
    </row>
    <row r="293" spans="1:8" x14ac:dyDescent="0.3">
      <c r="A293" s="25">
        <v>292</v>
      </c>
      <c r="B293" s="26">
        <v>301</v>
      </c>
      <c r="C293" s="26">
        <v>142</v>
      </c>
      <c r="D293" s="26">
        <v>109</v>
      </c>
      <c r="E293" s="26">
        <v>49</v>
      </c>
      <c r="F293" s="28" t="str">
        <f>PROPER(nutrition!$H293)</f>
        <v>Daun Salam  Bubuk</v>
      </c>
      <c r="G293" s="26" t="str">
        <f>IF(nutrition!$B293&gt;300,"Tinggi Kalori",IF(nutrition!$B293&gt;100,"Kalori Sedang","Rendah Kalori"))</f>
        <v>Tinggi Kalori</v>
      </c>
      <c r="H293" s="27" t="s">
        <v>297</v>
      </c>
    </row>
    <row r="294" spans="1:8" x14ac:dyDescent="0.3">
      <c r="A294" s="21">
        <v>293</v>
      </c>
      <c r="B294" s="22">
        <v>62</v>
      </c>
      <c r="C294" s="22">
        <v>4</v>
      </c>
      <c r="D294" s="22">
        <v>5</v>
      </c>
      <c r="E294" s="22">
        <v>105</v>
      </c>
      <c r="F294" s="24" t="str">
        <f>PROPER(nutrition!$H294)</f>
        <v>Daun Selasih Segar</v>
      </c>
      <c r="G294" s="22" t="str">
        <f>IF(nutrition!$B294&gt;300,"Tinggi Kalori",IF(nutrition!$B294&gt;100,"Kalori Sedang","Rendah Kalori"))</f>
        <v>Rendah Kalori</v>
      </c>
      <c r="H294" s="23" t="s">
        <v>298</v>
      </c>
    </row>
    <row r="295" spans="1:8" x14ac:dyDescent="0.3">
      <c r="A295" s="25">
        <v>294</v>
      </c>
      <c r="B295" s="26">
        <v>45</v>
      </c>
      <c r="C295" s="26">
        <v>44</v>
      </c>
      <c r="D295" s="26">
        <v>8</v>
      </c>
      <c r="E295" s="26">
        <v>5</v>
      </c>
      <c r="F295" s="28" t="str">
        <f>PROPER(nutrition!$H295)</f>
        <v>Daun Semanggi</v>
      </c>
      <c r="G295" s="26" t="str">
        <f>IF(nutrition!$B295&gt;300,"Tinggi Kalori",IF(nutrition!$B295&gt;100,"Kalori Sedang","Rendah Kalori"))</f>
        <v>Rendah Kalori</v>
      </c>
      <c r="H295" s="27" t="s">
        <v>299</v>
      </c>
    </row>
    <row r="296" spans="1:8" x14ac:dyDescent="0.3">
      <c r="A296" s="21">
        <v>295</v>
      </c>
      <c r="B296" s="22">
        <v>45</v>
      </c>
      <c r="C296" s="22">
        <v>44</v>
      </c>
      <c r="D296" s="22">
        <v>5</v>
      </c>
      <c r="E296" s="22">
        <v>85</v>
      </c>
      <c r="F296" s="24" t="str">
        <f>PROPER(nutrition!$H296)</f>
        <v>Daun Semanggi Segar</v>
      </c>
      <c r="G296" s="22" t="str">
        <f>IF(nutrition!$B296&gt;300,"Tinggi Kalori",IF(nutrition!$B296&gt;100,"Kalori Sedang","Rendah Kalori"))</f>
        <v>Rendah Kalori</v>
      </c>
      <c r="H296" s="23" t="s">
        <v>300</v>
      </c>
    </row>
    <row r="297" spans="1:8" x14ac:dyDescent="0.3">
      <c r="A297" s="25">
        <v>296</v>
      </c>
      <c r="B297" s="26">
        <v>53</v>
      </c>
      <c r="C297" s="26">
        <v>32</v>
      </c>
      <c r="D297" s="26">
        <v>25</v>
      </c>
      <c r="E297" s="26">
        <v>76</v>
      </c>
      <c r="F297" s="28" t="str">
        <f>PROPER(nutrition!$H297)</f>
        <v>Daun Simpur Segar</v>
      </c>
      <c r="G297" s="26" t="str">
        <f>IF(nutrition!$B297&gt;300,"Tinggi Kalori",IF(nutrition!$B297&gt;100,"Kalori Sedang","Rendah Kalori"))</f>
        <v>Rendah Kalori</v>
      </c>
      <c r="H297" s="27" t="s">
        <v>301</v>
      </c>
    </row>
    <row r="298" spans="1:8" x14ac:dyDescent="0.3">
      <c r="A298" s="21">
        <v>297</v>
      </c>
      <c r="B298" s="22">
        <v>68</v>
      </c>
      <c r="C298" s="22">
        <v>2</v>
      </c>
      <c r="D298" s="22">
        <v>1</v>
      </c>
      <c r="E298" s="22">
        <v>152</v>
      </c>
      <c r="F298" s="24" t="str">
        <f>PROPER(nutrition!$H298)</f>
        <v>Daun Singkil Segar</v>
      </c>
      <c r="G298" s="22" t="str">
        <f>IF(nutrition!$B298&gt;300,"Tinggi Kalori",IF(nutrition!$B298&gt;100,"Kalori Sedang","Rendah Kalori"))</f>
        <v>Rendah Kalori</v>
      </c>
      <c r="H298" s="23" t="s">
        <v>302</v>
      </c>
    </row>
    <row r="299" spans="1:8" x14ac:dyDescent="0.3">
      <c r="A299" s="25">
        <v>298</v>
      </c>
      <c r="B299" s="26">
        <v>73</v>
      </c>
      <c r="C299" s="26">
        <v>68</v>
      </c>
      <c r="D299" s="26">
        <v>12</v>
      </c>
      <c r="E299" s="26">
        <v>13</v>
      </c>
      <c r="F299" s="28" t="str">
        <f>PROPER(nutrition!$H299)</f>
        <v>Daun Singkong</v>
      </c>
      <c r="G299" s="26" t="str">
        <f>IF(nutrition!$B299&gt;300,"Tinggi Kalori",IF(nutrition!$B299&gt;100,"Kalori Sedang","Rendah Kalori"))</f>
        <v>Rendah Kalori</v>
      </c>
      <c r="H299" s="27" t="s">
        <v>303</v>
      </c>
    </row>
    <row r="300" spans="1:8" x14ac:dyDescent="0.3">
      <c r="A300" s="21">
        <v>299</v>
      </c>
      <c r="B300" s="22">
        <v>144</v>
      </c>
      <c r="C300" s="22">
        <v>127</v>
      </c>
      <c r="D300" s="22">
        <v>12</v>
      </c>
      <c r="E300" s="22">
        <v>252</v>
      </c>
      <c r="F300" s="24" t="str">
        <f>PROPER(nutrition!$H300)</f>
        <v>Daun Singkong Ambon Segar</v>
      </c>
      <c r="G300" s="22" t="str">
        <f>IF(nutrition!$B300&gt;300,"Tinggi Kalori",IF(nutrition!$B300&gt;100,"Kalori Sedang","Rendah Kalori"))</f>
        <v>Kalori Sedang</v>
      </c>
      <c r="H300" s="23" t="s">
        <v>304</v>
      </c>
    </row>
    <row r="301" spans="1:8" x14ac:dyDescent="0.3">
      <c r="A301" s="25">
        <v>300</v>
      </c>
      <c r="B301" s="26">
        <v>50</v>
      </c>
      <c r="C301" s="26">
        <v>62</v>
      </c>
      <c r="D301" s="26">
        <v>11</v>
      </c>
      <c r="E301" s="26">
        <v>71</v>
      </c>
      <c r="F301" s="28" t="str">
        <f>PROPER(nutrition!$H301)</f>
        <v>Daun Singkong Ampenan Segar</v>
      </c>
      <c r="G301" s="26" t="str">
        <f>IF(nutrition!$B301&gt;300,"Tinggi Kalori",IF(nutrition!$B301&gt;100,"Kalori Sedang","Rendah Kalori"))</f>
        <v>Rendah Kalori</v>
      </c>
      <c r="H301" s="27" t="s">
        <v>305</v>
      </c>
    </row>
    <row r="302" spans="1:8" x14ac:dyDescent="0.3">
      <c r="A302" s="21">
        <v>301</v>
      </c>
      <c r="B302" s="22">
        <v>74</v>
      </c>
      <c r="C302" s="22">
        <v>63</v>
      </c>
      <c r="D302" s="22">
        <v>7</v>
      </c>
      <c r="E302" s="22">
        <v>107</v>
      </c>
      <c r="F302" s="24" t="str">
        <f>PROPER(nutrition!$H302)</f>
        <v>Daun Singkong Kopang Segar</v>
      </c>
      <c r="G302" s="22" t="str">
        <f>IF(nutrition!$B302&gt;300,"Tinggi Kalori",IF(nutrition!$B302&gt;100,"Kalori Sedang","Rendah Kalori"))</f>
        <v>Rendah Kalori</v>
      </c>
      <c r="H302" s="23" t="s">
        <v>306</v>
      </c>
    </row>
    <row r="303" spans="1:8" x14ac:dyDescent="0.3">
      <c r="A303" s="25">
        <v>302</v>
      </c>
      <c r="B303" s="26">
        <v>55</v>
      </c>
      <c r="C303" s="26">
        <v>4</v>
      </c>
      <c r="D303" s="26">
        <v>5</v>
      </c>
      <c r="E303" s="26">
        <v>85</v>
      </c>
      <c r="F303" s="28" t="str">
        <f>PROPER(nutrition!$H303)</f>
        <v>Daun Singkong Lodeh</v>
      </c>
      <c r="G303" s="26" t="str">
        <f>IF(nutrition!$B303&gt;300,"Tinggi Kalori",IF(nutrition!$B303&gt;100,"Kalori Sedang","Rendah Kalori"))</f>
        <v>Rendah Kalori</v>
      </c>
      <c r="H303" s="27" t="s">
        <v>307</v>
      </c>
    </row>
    <row r="304" spans="1:8" x14ac:dyDescent="0.3">
      <c r="A304" s="21">
        <v>303</v>
      </c>
      <c r="B304" s="22">
        <v>31</v>
      </c>
      <c r="C304" s="22">
        <v>37</v>
      </c>
      <c r="D304" s="22">
        <v>6</v>
      </c>
      <c r="E304" s="22">
        <v>48</v>
      </c>
      <c r="F304" s="24" t="str">
        <f>PROPER(nutrition!$H304)</f>
        <v>Daun Singkong Rebus</v>
      </c>
      <c r="G304" s="22" t="str">
        <f>IF(nutrition!$B304&gt;300,"Tinggi Kalori",IF(nutrition!$B304&gt;100,"Kalori Sedang","Rendah Kalori"))</f>
        <v>Rendah Kalori</v>
      </c>
      <c r="H304" s="23" t="s">
        <v>308</v>
      </c>
    </row>
    <row r="305" spans="1:8" x14ac:dyDescent="0.3">
      <c r="A305" s="25">
        <v>304</v>
      </c>
      <c r="B305" s="26">
        <v>50</v>
      </c>
      <c r="C305" s="26">
        <v>62</v>
      </c>
      <c r="D305" s="26">
        <v>11</v>
      </c>
      <c r="E305" s="26">
        <v>71</v>
      </c>
      <c r="F305" s="28" t="str">
        <f>PROPER(nutrition!$H305)</f>
        <v>Daun Singkong Segar</v>
      </c>
      <c r="G305" s="26" t="str">
        <f>IF(nutrition!$B305&gt;300,"Tinggi Kalori",IF(nutrition!$B305&gt;100,"Kalori Sedang","Rendah Kalori"))</f>
        <v>Rendah Kalori</v>
      </c>
      <c r="H305" s="27" t="s">
        <v>309</v>
      </c>
    </row>
    <row r="306" spans="1:8" x14ac:dyDescent="0.3">
      <c r="A306" s="21">
        <v>305</v>
      </c>
      <c r="B306" s="22">
        <v>36</v>
      </c>
      <c r="C306" s="22">
        <v>26</v>
      </c>
      <c r="D306" s="22">
        <v>9</v>
      </c>
      <c r="E306" s="22">
        <v>61</v>
      </c>
      <c r="F306" s="24" t="str">
        <f>PROPER(nutrition!$H306)</f>
        <v>Daun Sintrong</v>
      </c>
      <c r="G306" s="22" t="str">
        <f>IF(nutrition!$B306&gt;300,"Tinggi Kalori",IF(nutrition!$B306&gt;100,"Kalori Sedang","Rendah Kalori"))</f>
        <v>Rendah Kalori</v>
      </c>
      <c r="H306" s="23" t="s">
        <v>310</v>
      </c>
    </row>
    <row r="307" spans="1:8" x14ac:dyDescent="0.3">
      <c r="A307" s="25">
        <v>306</v>
      </c>
      <c r="B307" s="26">
        <v>27</v>
      </c>
      <c r="C307" s="26">
        <v>13</v>
      </c>
      <c r="D307" s="26">
        <v>2</v>
      </c>
      <c r="E307" s="26">
        <v>59</v>
      </c>
      <c r="F307" s="28" t="str">
        <f>PROPER(nutrition!$H307)</f>
        <v>Daun Talas Rebus</v>
      </c>
      <c r="G307" s="26" t="str">
        <f>IF(nutrition!$B307&gt;300,"Tinggi Kalori",IF(nutrition!$B307&gt;100,"Kalori Sedang","Rendah Kalori"))</f>
        <v>Rendah Kalori</v>
      </c>
      <c r="H307" s="27" t="s">
        <v>311</v>
      </c>
    </row>
    <row r="308" spans="1:8" x14ac:dyDescent="0.3">
      <c r="A308" s="21">
        <v>307</v>
      </c>
      <c r="B308" s="22">
        <v>59</v>
      </c>
      <c r="C308" s="22">
        <v>3</v>
      </c>
      <c r="D308" s="22">
        <v>4</v>
      </c>
      <c r="E308" s="22">
        <v>135</v>
      </c>
      <c r="F308" s="24" t="str">
        <f>PROPER(nutrition!$H308)</f>
        <v>Daun Talas Segar</v>
      </c>
      <c r="G308" s="22" t="str">
        <f>IF(nutrition!$B308&gt;300,"Tinggi Kalori",IF(nutrition!$B308&gt;100,"Kalori Sedang","Rendah Kalori"))</f>
        <v>Rendah Kalori</v>
      </c>
      <c r="H308" s="23" t="s">
        <v>312</v>
      </c>
    </row>
    <row r="309" spans="1:8" x14ac:dyDescent="0.3">
      <c r="A309" s="25">
        <v>308</v>
      </c>
      <c r="B309" s="26">
        <v>71</v>
      </c>
      <c r="C309" s="26">
        <v>41</v>
      </c>
      <c r="D309" s="26">
        <v>21</v>
      </c>
      <c r="E309" s="26">
        <v>123</v>
      </c>
      <c r="F309" s="28" t="str">
        <f>PROPER(nutrition!$H309)</f>
        <v>Daun Tales</v>
      </c>
      <c r="G309" s="26" t="str">
        <f>IF(nutrition!$B309&gt;300,"Tinggi Kalori",IF(nutrition!$B309&gt;100,"Kalori Sedang","Rendah Kalori"))</f>
        <v>Rendah Kalori</v>
      </c>
      <c r="H309" s="27" t="s">
        <v>313</v>
      </c>
    </row>
    <row r="310" spans="1:8" x14ac:dyDescent="0.3">
      <c r="A310" s="21">
        <v>309</v>
      </c>
      <c r="B310" s="22">
        <v>27</v>
      </c>
      <c r="C310" s="22">
        <v>13</v>
      </c>
      <c r="D310" s="22">
        <v>2</v>
      </c>
      <c r="E310" s="22">
        <v>59</v>
      </c>
      <c r="F310" s="24" t="str">
        <f>PROPER(nutrition!$H310)</f>
        <v>Daun Tales Rebus</v>
      </c>
      <c r="G310" s="22" t="str">
        <f>IF(nutrition!$B310&gt;300,"Tinggi Kalori",IF(nutrition!$B310&gt;100,"Kalori Sedang","Rendah Kalori"))</f>
        <v>Rendah Kalori</v>
      </c>
      <c r="H310" s="23" t="s">
        <v>314</v>
      </c>
    </row>
    <row r="311" spans="1:8" x14ac:dyDescent="0.3">
      <c r="A311" s="25">
        <v>310</v>
      </c>
      <c r="B311" s="26">
        <v>70</v>
      </c>
      <c r="C311" s="26">
        <v>29</v>
      </c>
      <c r="D311" s="26">
        <v>3</v>
      </c>
      <c r="E311" s="26">
        <v>139</v>
      </c>
      <c r="F311" s="28" t="str">
        <f>PROPER(nutrition!$H311)</f>
        <v>Daun Tespong Segar</v>
      </c>
      <c r="G311" s="26" t="str">
        <f>IF(nutrition!$B311&gt;300,"Tinggi Kalori",IF(nutrition!$B311&gt;100,"Kalori Sedang","Rendah Kalori"))</f>
        <v>Rendah Kalori</v>
      </c>
      <c r="H311" s="27" t="s">
        <v>315</v>
      </c>
    </row>
    <row r="312" spans="1:8" x14ac:dyDescent="0.3">
      <c r="A312" s="21">
        <v>311</v>
      </c>
      <c r="B312" s="22">
        <v>47</v>
      </c>
      <c r="C312" s="22">
        <v>28</v>
      </c>
      <c r="D312" s="22">
        <v>4</v>
      </c>
      <c r="E312" s="22">
        <v>104</v>
      </c>
      <c r="F312" s="24" t="str">
        <f>PROPER(nutrition!$H312)</f>
        <v>Daun Ubi Jalar</v>
      </c>
      <c r="G312" s="22" t="str">
        <f>IF(nutrition!$B312&gt;300,"Tinggi Kalori",IF(nutrition!$B312&gt;100,"Kalori Sedang","Rendah Kalori"))</f>
        <v>Rendah Kalori</v>
      </c>
      <c r="H312" s="23" t="s">
        <v>316</v>
      </c>
    </row>
    <row r="313" spans="1:8" x14ac:dyDescent="0.3">
      <c r="A313" s="25">
        <v>312</v>
      </c>
      <c r="B313" s="26">
        <v>56</v>
      </c>
      <c r="C313" s="26">
        <v>31</v>
      </c>
      <c r="D313" s="26">
        <v>3</v>
      </c>
      <c r="E313" s="26">
        <v>13</v>
      </c>
      <c r="F313" s="28" t="str">
        <f>PROPER(nutrition!$H313)</f>
        <v>Daun Ubi Jalar Kukus</v>
      </c>
      <c r="G313" s="26" t="str">
        <f>IF(nutrition!$B313&gt;300,"Tinggi Kalori",IF(nutrition!$B313&gt;100,"Kalori Sedang","Rendah Kalori"))</f>
        <v>Rendah Kalori</v>
      </c>
      <c r="H313" s="27" t="s">
        <v>317</v>
      </c>
    </row>
    <row r="314" spans="1:8" x14ac:dyDescent="0.3">
      <c r="A314" s="21">
        <v>313</v>
      </c>
      <c r="B314" s="22">
        <v>62</v>
      </c>
      <c r="C314" s="22">
        <v>37</v>
      </c>
      <c r="D314" s="22">
        <v>3</v>
      </c>
      <c r="E314" s="22">
        <v>111</v>
      </c>
      <c r="F314" s="24" t="str">
        <f>PROPER(nutrition!$H314)</f>
        <v>Daun Ubi Kuning Segar</v>
      </c>
      <c r="G314" s="22" t="str">
        <f>IF(nutrition!$B314&gt;300,"Tinggi Kalori",IF(nutrition!$B314&gt;100,"Kalori Sedang","Rendah Kalori"))</f>
        <v>Rendah Kalori</v>
      </c>
      <c r="H314" s="23" t="s">
        <v>318</v>
      </c>
    </row>
    <row r="315" spans="1:8" x14ac:dyDescent="0.3">
      <c r="A315" s="25">
        <v>314</v>
      </c>
      <c r="B315" s="26">
        <v>56</v>
      </c>
      <c r="C315" s="26">
        <v>31</v>
      </c>
      <c r="D315" s="26">
        <v>3</v>
      </c>
      <c r="E315" s="26">
        <v>13</v>
      </c>
      <c r="F315" s="28" t="str">
        <f>PROPER(nutrition!$H315)</f>
        <v>Daun Ubi Merah Kukus</v>
      </c>
      <c r="G315" s="26" t="str">
        <f>IF(nutrition!$B315&gt;300,"Tinggi Kalori",IF(nutrition!$B315&gt;100,"Kalori Sedang","Rendah Kalori"))</f>
        <v>Rendah Kalori</v>
      </c>
      <c r="H315" s="27" t="s">
        <v>319</v>
      </c>
    </row>
    <row r="316" spans="1:8" x14ac:dyDescent="0.3">
      <c r="A316" s="21">
        <v>315</v>
      </c>
      <c r="B316" s="22">
        <v>48</v>
      </c>
      <c r="C316" s="22">
        <v>3</v>
      </c>
      <c r="D316" s="22">
        <v>3</v>
      </c>
      <c r="E316" s="22">
        <v>108</v>
      </c>
      <c r="F316" s="24" t="str">
        <f>PROPER(nutrition!$H316)</f>
        <v>Daun Ubi Merah Segar</v>
      </c>
      <c r="G316" s="22" t="str">
        <f>IF(nutrition!$B316&gt;300,"Tinggi Kalori",IF(nutrition!$B316&gt;100,"Kalori Sedang","Rendah Kalori"))</f>
        <v>Rendah Kalori</v>
      </c>
      <c r="H316" s="23" t="s">
        <v>320</v>
      </c>
    </row>
    <row r="317" spans="1:8" x14ac:dyDescent="0.3">
      <c r="A317" s="25">
        <v>316</v>
      </c>
      <c r="B317" s="26">
        <v>46</v>
      </c>
      <c r="C317" s="26">
        <v>28</v>
      </c>
      <c r="D317" s="26">
        <v>2</v>
      </c>
      <c r="E317" s="26">
        <v>82</v>
      </c>
      <c r="F317" s="28" t="str">
        <f>PROPER(nutrition!$H317)</f>
        <v>Daun Ubi Putih Segar</v>
      </c>
      <c r="G317" s="26" t="str">
        <f>IF(nutrition!$B317&gt;300,"Tinggi Kalori",IF(nutrition!$B317&gt;100,"Kalori Sedang","Rendah Kalori"))</f>
        <v>Rendah Kalori</v>
      </c>
      <c r="H317" s="27" t="s">
        <v>321</v>
      </c>
    </row>
    <row r="318" spans="1:8" x14ac:dyDescent="0.3">
      <c r="A318" s="21">
        <v>317</v>
      </c>
      <c r="B318" s="22">
        <v>55</v>
      </c>
      <c r="C318" s="22">
        <v>17</v>
      </c>
      <c r="D318" s="22">
        <v>1</v>
      </c>
      <c r="E318" s="22">
        <v>119</v>
      </c>
      <c r="F318" s="24" t="str">
        <f>PROPER(nutrition!$H318)</f>
        <v>Daun Ubi Tinta Segar</v>
      </c>
      <c r="G318" s="22" t="str">
        <f>IF(nutrition!$B318&gt;300,"Tinggi Kalori",IF(nutrition!$B318&gt;100,"Kalori Sedang","Rendah Kalori"))</f>
        <v>Rendah Kalori</v>
      </c>
      <c r="H318" s="23" t="s">
        <v>322</v>
      </c>
    </row>
    <row r="319" spans="1:8" x14ac:dyDescent="0.3">
      <c r="A319" s="25">
        <v>318</v>
      </c>
      <c r="B319" s="26">
        <v>260</v>
      </c>
      <c r="C319" s="26">
        <v>2</v>
      </c>
      <c r="D319" s="26">
        <v>15</v>
      </c>
      <c r="E319" s="26">
        <v>53</v>
      </c>
      <c r="F319" s="28" t="str">
        <f>PROPER(nutrition!$H319)</f>
        <v xml:space="preserve">Deblo </v>
      </c>
      <c r="G319" s="26" t="str">
        <f>IF(nutrition!$B319&gt;300,"Tinggi Kalori",IF(nutrition!$B319&gt;100,"Kalori Sedang","Rendah Kalori"))</f>
        <v>Kalori Sedang</v>
      </c>
      <c r="H319" s="27" t="s">
        <v>323</v>
      </c>
    </row>
    <row r="320" spans="1:8" x14ac:dyDescent="0.3">
      <c r="A320" s="21">
        <v>319</v>
      </c>
      <c r="B320" s="22">
        <v>382</v>
      </c>
      <c r="C320" s="22">
        <v>557</v>
      </c>
      <c r="D320" s="22">
        <v>141</v>
      </c>
      <c r="E320" s="22">
        <v>8</v>
      </c>
      <c r="F320" s="24" t="str">
        <f>PROPER(nutrition!$H320)</f>
        <v>Dendeng Belut Goreng</v>
      </c>
      <c r="G320" s="22" t="str">
        <f>IF(nutrition!$B320&gt;300,"Tinggi Kalori",IF(nutrition!$B320&gt;100,"Kalori Sedang","Rendah Kalori"))</f>
        <v>Tinggi Kalori</v>
      </c>
      <c r="H320" s="23" t="s">
        <v>324</v>
      </c>
    </row>
    <row r="321" spans="1:8" x14ac:dyDescent="0.3">
      <c r="A321" s="25">
        <v>320</v>
      </c>
      <c r="B321" s="26">
        <v>433</v>
      </c>
      <c r="C321" s="26">
        <v>55</v>
      </c>
      <c r="D321" s="26">
        <v>9</v>
      </c>
      <c r="E321" s="26">
        <v>0</v>
      </c>
      <c r="F321" s="28" t="str">
        <f>PROPER(nutrition!$H321)</f>
        <v>Dendeng Daging Sapi</v>
      </c>
      <c r="G321" s="26" t="str">
        <f>IF(nutrition!$B321&gt;300,"Tinggi Kalori",IF(nutrition!$B321&gt;100,"Kalori Sedang","Rendah Kalori"))</f>
        <v>Tinggi Kalori</v>
      </c>
      <c r="H321" s="27" t="s">
        <v>325</v>
      </c>
    </row>
    <row r="322" spans="1:8" x14ac:dyDescent="0.3">
      <c r="A322" s="21">
        <v>321</v>
      </c>
      <c r="B322" s="22">
        <v>598</v>
      </c>
      <c r="C322" s="22">
        <v>743</v>
      </c>
      <c r="D322" s="22">
        <v>269</v>
      </c>
      <c r="E322" s="22">
        <v>92</v>
      </c>
      <c r="F322" s="24" t="str">
        <f>PROPER(nutrition!$H322)</f>
        <v>Dendeng Mujahir Goreng</v>
      </c>
      <c r="G322" s="22" t="str">
        <f>IF(nutrition!$B322&gt;300,"Tinggi Kalori",IF(nutrition!$B322&gt;100,"Kalori Sedang","Rendah Kalori"))</f>
        <v>Tinggi Kalori</v>
      </c>
      <c r="H322" s="23" t="s">
        <v>326</v>
      </c>
    </row>
    <row r="323" spans="1:8" x14ac:dyDescent="0.3">
      <c r="A323" s="25">
        <v>322</v>
      </c>
      <c r="B323" s="26">
        <v>77</v>
      </c>
      <c r="C323" s="26">
        <v>138</v>
      </c>
      <c r="D323" s="26">
        <v>19</v>
      </c>
      <c r="E323" s="26">
        <v>7</v>
      </c>
      <c r="F323" s="28" t="str">
        <f>PROPER(nutrition!$H323)</f>
        <v>Dideh Darah Ayam</v>
      </c>
      <c r="G323" s="26" t="str">
        <f>IF(nutrition!$B323&gt;300,"Tinggi Kalori",IF(nutrition!$B323&gt;100,"Kalori Sedang","Rendah Kalori"))</f>
        <v>Rendah Kalori</v>
      </c>
      <c r="H323" s="27" t="s">
        <v>327</v>
      </c>
    </row>
    <row r="324" spans="1:8" x14ac:dyDescent="0.3">
      <c r="A324" s="21">
        <v>323</v>
      </c>
      <c r="B324" s="22">
        <v>104</v>
      </c>
      <c r="C324" s="22">
        <v>219</v>
      </c>
      <c r="D324" s="22">
        <v>11</v>
      </c>
      <c r="E324" s="22">
        <v>0</v>
      </c>
      <c r="F324" s="24" t="str">
        <f>PROPER(nutrition!$H324)</f>
        <v>Dideh Darah Sapi</v>
      </c>
      <c r="G324" s="22" t="str">
        <f>IF(nutrition!$B324&gt;300,"Tinggi Kalori",IF(nutrition!$B324&gt;100,"Kalori Sedang","Rendah Kalori"))</f>
        <v>Kalori Sedang</v>
      </c>
      <c r="H324" s="23" t="s">
        <v>328</v>
      </c>
    </row>
    <row r="325" spans="1:8" x14ac:dyDescent="0.3">
      <c r="A325" s="25">
        <v>324</v>
      </c>
      <c r="B325" s="26">
        <v>248</v>
      </c>
      <c r="C325" s="26">
        <v>10</v>
      </c>
      <c r="D325" s="26">
        <v>23</v>
      </c>
      <c r="E325" s="26">
        <v>409</v>
      </c>
      <c r="F325" s="28" t="str">
        <f>PROPER(nutrition!$H325)</f>
        <v>Djibokum Masakan</v>
      </c>
      <c r="G325" s="26" t="str">
        <f>IF(nutrition!$B325&gt;300,"Tinggi Kalori",IF(nutrition!$B325&gt;100,"Kalori Sedang","Rendah Kalori"))</f>
        <v>Kalori Sedang</v>
      </c>
      <c r="H325" s="27" t="s">
        <v>329</v>
      </c>
    </row>
    <row r="326" spans="1:8" x14ac:dyDescent="0.3">
      <c r="A326" s="21">
        <v>325</v>
      </c>
      <c r="B326" s="22">
        <v>395</v>
      </c>
      <c r="C326" s="22">
        <v>3</v>
      </c>
      <c r="D326" s="22">
        <v>57</v>
      </c>
      <c r="E326" s="22">
        <v>812</v>
      </c>
      <c r="F326" s="24" t="str">
        <f>PROPER(nutrition!$H326)</f>
        <v>Dodol</v>
      </c>
      <c r="G326" s="22" t="str">
        <f>IF(nutrition!$B326&gt;300,"Tinggi Kalori",IF(nutrition!$B326&gt;100,"Kalori Sedang","Rendah Kalori"))</f>
        <v>Tinggi Kalori</v>
      </c>
      <c r="H326" s="23" t="s">
        <v>330</v>
      </c>
    </row>
    <row r="327" spans="1:8" x14ac:dyDescent="0.3">
      <c r="A327" s="25">
        <v>326</v>
      </c>
      <c r="B327" s="26">
        <v>298</v>
      </c>
      <c r="C327" s="26">
        <v>37</v>
      </c>
      <c r="D327" s="26">
        <v>21</v>
      </c>
      <c r="E327" s="26">
        <v>659</v>
      </c>
      <c r="F327" s="28" t="str">
        <f>PROPER(nutrition!$H327)</f>
        <v>Dodol Bali</v>
      </c>
      <c r="G327" s="26" t="str">
        <f>IF(nutrition!$B327&gt;300,"Tinggi Kalori",IF(nutrition!$B327&gt;100,"Kalori Sedang","Rendah Kalori"))</f>
        <v>Kalori Sedang</v>
      </c>
      <c r="H327" s="27" t="s">
        <v>331</v>
      </c>
    </row>
    <row r="328" spans="1:8" x14ac:dyDescent="0.3">
      <c r="A328" s="21">
        <v>327</v>
      </c>
      <c r="B328" s="22">
        <v>368</v>
      </c>
      <c r="C328" s="22">
        <v>26</v>
      </c>
      <c r="D328" s="22">
        <v>86</v>
      </c>
      <c r="E328" s="22">
        <v>70</v>
      </c>
      <c r="F328" s="24" t="str">
        <f>PROPER(nutrition!$H328)</f>
        <v>Dodol Banjarmasin</v>
      </c>
      <c r="G328" s="22" t="str">
        <f>IF(nutrition!$B328&gt;300,"Tinggi Kalori",IF(nutrition!$B328&gt;100,"Kalori Sedang","Rendah Kalori"))</f>
        <v>Tinggi Kalori</v>
      </c>
      <c r="H328" s="23" t="s">
        <v>332</v>
      </c>
    </row>
    <row r="329" spans="1:8" x14ac:dyDescent="0.3">
      <c r="A329" s="25">
        <v>328</v>
      </c>
      <c r="B329" s="26">
        <v>348</v>
      </c>
      <c r="C329" s="26">
        <v>4</v>
      </c>
      <c r="D329" s="26">
        <v>38</v>
      </c>
      <c r="E329" s="26">
        <v>761</v>
      </c>
      <c r="F329" s="28" t="str">
        <f>PROPER(nutrition!$H329)</f>
        <v>Dodol Galamai</v>
      </c>
      <c r="G329" s="26" t="str">
        <f>IF(nutrition!$B329&gt;300,"Tinggi Kalori",IF(nutrition!$B329&gt;100,"Kalori Sedang","Rendah Kalori"))</f>
        <v>Tinggi Kalori</v>
      </c>
      <c r="H329" s="27" t="s">
        <v>333</v>
      </c>
    </row>
    <row r="330" spans="1:8" x14ac:dyDescent="0.3">
      <c r="A330" s="21">
        <v>329</v>
      </c>
      <c r="B330" s="22">
        <v>331</v>
      </c>
      <c r="C330" s="22">
        <v>19</v>
      </c>
      <c r="D330" s="22">
        <v>76</v>
      </c>
      <c r="E330" s="22">
        <v>638</v>
      </c>
      <c r="F330" s="24" t="str">
        <f>PROPER(nutrition!$H330)</f>
        <v>Dodol Kedondong</v>
      </c>
      <c r="G330" s="22" t="str">
        <f>IF(nutrition!$B330&gt;300,"Tinggi Kalori",IF(nutrition!$B330&gt;100,"Kalori Sedang","Rendah Kalori"))</f>
        <v>Tinggi Kalori</v>
      </c>
      <c r="H330" s="23" t="s">
        <v>334</v>
      </c>
    </row>
    <row r="331" spans="1:8" x14ac:dyDescent="0.3">
      <c r="A331" s="25">
        <v>330</v>
      </c>
      <c r="B331" s="26">
        <v>373</v>
      </c>
      <c r="C331" s="26">
        <v>43</v>
      </c>
      <c r="D331" s="26">
        <v>165</v>
      </c>
      <c r="E331" s="26">
        <v>519</v>
      </c>
      <c r="F331" s="28" t="str">
        <f>PROPER(nutrition!$H331)</f>
        <v>Dodol Manado</v>
      </c>
      <c r="G331" s="26" t="str">
        <f>IF(nutrition!$B331&gt;300,"Tinggi Kalori",IF(nutrition!$B331&gt;100,"Kalori Sedang","Rendah Kalori"))</f>
        <v>Tinggi Kalori</v>
      </c>
      <c r="H331" s="27" t="s">
        <v>335</v>
      </c>
    </row>
    <row r="332" spans="1:8" x14ac:dyDescent="0.3">
      <c r="A332" s="21">
        <v>331</v>
      </c>
      <c r="B332" s="22">
        <v>175</v>
      </c>
      <c r="C332" s="22">
        <v>33</v>
      </c>
      <c r="D332" s="22">
        <v>23</v>
      </c>
      <c r="E332" s="22">
        <v>395</v>
      </c>
      <c r="F332" s="24" t="str">
        <f>PROPER(nutrition!$H332)</f>
        <v xml:space="preserve">Dodonkol </v>
      </c>
      <c r="G332" s="22" t="str">
        <f>IF(nutrition!$B332&gt;300,"Tinggi Kalori",IF(nutrition!$B332&gt;100,"Kalori Sedang","Rendah Kalori"))</f>
        <v>Kalori Sedang</v>
      </c>
      <c r="H332" s="23" t="s">
        <v>336</v>
      </c>
    </row>
    <row r="333" spans="1:8" x14ac:dyDescent="0.3">
      <c r="A333" s="25">
        <v>332</v>
      </c>
      <c r="B333" s="26">
        <v>317</v>
      </c>
      <c r="C333" s="26">
        <v>157</v>
      </c>
      <c r="D333" s="26">
        <v>277</v>
      </c>
      <c r="E333" s="26">
        <v>0</v>
      </c>
      <c r="F333" s="28" t="str">
        <f>PROPER(nutrition!$H333)</f>
        <v>Domba Daging Gemuk Segar</v>
      </c>
      <c r="G333" s="26" t="str">
        <f>IF(nutrition!$B333&gt;300,"Tinggi Kalori",IF(nutrition!$B333&gt;100,"Kalori Sedang","Rendah Kalori"))</f>
        <v>Tinggi Kalori</v>
      </c>
      <c r="H333" s="27" t="s">
        <v>337</v>
      </c>
    </row>
    <row r="334" spans="1:8" x14ac:dyDescent="0.3">
      <c r="A334" s="21">
        <v>333</v>
      </c>
      <c r="B334" s="22">
        <v>202</v>
      </c>
      <c r="C334" s="22">
        <v>171</v>
      </c>
      <c r="D334" s="22">
        <v>148</v>
      </c>
      <c r="E334" s="22">
        <v>0</v>
      </c>
      <c r="F334" s="24" t="str">
        <f>PROPER(nutrition!$H334)</f>
        <v>Domba Daging Kurus  Segar</v>
      </c>
      <c r="G334" s="22" t="str">
        <f>IF(nutrition!$B334&gt;300,"Tinggi Kalori",IF(nutrition!$B334&gt;100,"Kalori Sedang","Rendah Kalori"))</f>
        <v>Kalori Sedang</v>
      </c>
      <c r="H334" s="23" t="s">
        <v>338</v>
      </c>
    </row>
    <row r="335" spans="1:8" x14ac:dyDescent="0.3">
      <c r="A335" s="25">
        <v>334</v>
      </c>
      <c r="B335" s="26">
        <v>100</v>
      </c>
      <c r="C335" s="26">
        <v>166</v>
      </c>
      <c r="D335" s="26">
        <v>33</v>
      </c>
      <c r="E335" s="26">
        <v>1</v>
      </c>
      <c r="F335" s="28" t="str">
        <f>PROPER(nutrition!$H335)</f>
        <v>Domba Ginjal Segar</v>
      </c>
      <c r="G335" s="26" t="str">
        <f>IF(nutrition!$B335&gt;300,"Tinggi Kalori",IF(nutrition!$B335&gt;100,"Kalori Sedang","Rendah Kalori"))</f>
        <v>Rendah Kalori</v>
      </c>
      <c r="H335" s="27" t="s">
        <v>339</v>
      </c>
    </row>
    <row r="336" spans="1:8" x14ac:dyDescent="0.3">
      <c r="A336" s="21">
        <v>335</v>
      </c>
      <c r="B336" s="22">
        <v>63</v>
      </c>
      <c r="C336" s="22">
        <v>1</v>
      </c>
      <c r="D336" s="22">
        <v>2</v>
      </c>
      <c r="E336" s="22">
        <v>161</v>
      </c>
      <c r="F336" s="24" t="str">
        <f>PROPER(nutrition!$H336)</f>
        <v>Duku</v>
      </c>
      <c r="G336" s="22" t="str">
        <f>IF(nutrition!$B336&gt;300,"Tinggi Kalori",IF(nutrition!$B336&gt;100,"Kalori Sedang","Rendah Kalori"))</f>
        <v>Rendah Kalori</v>
      </c>
      <c r="H336" s="23" t="s">
        <v>340</v>
      </c>
    </row>
    <row r="337" spans="1:8" x14ac:dyDescent="0.3">
      <c r="A337" s="25">
        <v>336</v>
      </c>
      <c r="B337" s="26">
        <v>134</v>
      </c>
      <c r="C337" s="26">
        <v>25</v>
      </c>
      <c r="D337" s="26">
        <v>3</v>
      </c>
      <c r="E337" s="26">
        <v>28</v>
      </c>
      <c r="F337" s="28" t="str">
        <f>PROPER(nutrition!$H337)</f>
        <v>Durian</v>
      </c>
      <c r="G337" s="26" t="str">
        <f>IF(nutrition!$B337&gt;300,"Tinggi Kalori",IF(nutrition!$B337&gt;100,"Kalori Sedang","Rendah Kalori"))</f>
        <v>Kalori Sedang</v>
      </c>
      <c r="H337" s="27" t="s">
        <v>341</v>
      </c>
    </row>
    <row r="338" spans="1:8" x14ac:dyDescent="0.3">
      <c r="A338" s="21">
        <v>337</v>
      </c>
      <c r="B338" s="22">
        <v>80</v>
      </c>
      <c r="C338" s="22">
        <v>5</v>
      </c>
      <c r="D338" s="22">
        <v>6</v>
      </c>
      <c r="E338" s="22">
        <v>182</v>
      </c>
      <c r="F338" s="24" t="str">
        <f>PROPER(nutrition!$H338)</f>
        <v>Duwet Segar</v>
      </c>
      <c r="G338" s="22" t="str">
        <f>IF(nutrition!$B338&gt;300,"Tinggi Kalori",IF(nutrition!$B338&gt;100,"Kalori Sedang","Rendah Kalori"))</f>
        <v>Rendah Kalori</v>
      </c>
      <c r="H338" s="23" t="s">
        <v>342</v>
      </c>
    </row>
    <row r="339" spans="1:8" x14ac:dyDescent="0.3">
      <c r="A339" s="25">
        <v>338</v>
      </c>
      <c r="B339" s="26">
        <v>18</v>
      </c>
      <c r="C339" s="26">
        <v>1</v>
      </c>
      <c r="D339" s="26">
        <v>2</v>
      </c>
      <c r="E339" s="26">
        <v>38</v>
      </c>
      <c r="F339" s="28" t="str">
        <f>PROPER(nutrition!$H339)</f>
        <v>Eceng Gondok</v>
      </c>
      <c r="G339" s="26" t="str">
        <f>IF(nutrition!$B339&gt;300,"Tinggi Kalori",IF(nutrition!$B339&gt;100,"Kalori Sedang","Rendah Kalori"))</f>
        <v>Rendah Kalori</v>
      </c>
      <c r="H339" s="27" t="s">
        <v>343</v>
      </c>
    </row>
    <row r="340" spans="1:8" x14ac:dyDescent="0.3">
      <c r="A340" s="21">
        <v>339</v>
      </c>
      <c r="B340" s="22">
        <v>98</v>
      </c>
      <c r="C340" s="22">
        <v>14</v>
      </c>
      <c r="D340" s="22">
        <v>2</v>
      </c>
      <c r="E340" s="22">
        <v>254</v>
      </c>
      <c r="F340" s="24" t="str">
        <f>PROPER(nutrition!$H340)</f>
        <v>Embacang</v>
      </c>
      <c r="G340" s="22" t="str">
        <f>IF(nutrition!$B340&gt;300,"Tinggi Kalori",IF(nutrition!$B340&gt;100,"Kalori Sedang","Rendah Kalori"))</f>
        <v>Rendah Kalori</v>
      </c>
      <c r="H340" s="23" t="s">
        <v>344</v>
      </c>
    </row>
    <row r="341" spans="1:8" x14ac:dyDescent="0.3">
      <c r="A341" s="25">
        <v>340</v>
      </c>
      <c r="B341" s="26">
        <v>248</v>
      </c>
      <c r="C341" s="26">
        <v>362</v>
      </c>
      <c r="D341" s="26">
        <v>69</v>
      </c>
      <c r="E341" s="26">
        <v>101</v>
      </c>
      <c r="F341" s="28" t="str">
        <f>PROPER(nutrition!$H341)</f>
        <v>Empal (Daging) Goreng Masakan</v>
      </c>
      <c r="G341" s="26" t="str">
        <f>IF(nutrition!$B341&gt;300,"Tinggi Kalori",IF(nutrition!$B341&gt;100,"Kalori Sedang","Rendah Kalori"))</f>
        <v>Kalori Sedang</v>
      </c>
      <c r="H341" s="27" t="s">
        <v>345</v>
      </c>
    </row>
    <row r="342" spans="1:8" x14ac:dyDescent="0.3">
      <c r="A342" s="21">
        <v>341</v>
      </c>
      <c r="B342" s="22">
        <v>590</v>
      </c>
      <c r="C342" s="22">
        <v>185</v>
      </c>
      <c r="D342" s="22">
        <v>57</v>
      </c>
      <c r="E342" s="22">
        <v>0</v>
      </c>
      <c r="F342" s="24" t="str">
        <f>PROPER(nutrition!$H342)</f>
        <v>Empal Goreng</v>
      </c>
      <c r="G342" s="22" t="str">
        <f>IF(nutrition!$B342&gt;300,"Tinggi Kalori",IF(nutrition!$B342&gt;100,"Kalori Sedang","Rendah Kalori"))</f>
        <v>Tinggi Kalori</v>
      </c>
      <c r="H342" s="23" t="s">
        <v>346</v>
      </c>
    </row>
    <row r="343" spans="1:8" x14ac:dyDescent="0.3">
      <c r="A343" s="25">
        <v>342</v>
      </c>
      <c r="B343" s="26">
        <v>345</v>
      </c>
      <c r="C343" s="26">
        <v>12</v>
      </c>
      <c r="D343" s="26">
        <v>15</v>
      </c>
      <c r="E343" s="26">
        <v>715</v>
      </c>
      <c r="F343" s="28" t="str">
        <f>PROPER(nutrition!$H343)</f>
        <v>Emping (Kerupuk Melinjo)</v>
      </c>
      <c r="G343" s="26" t="str">
        <f>IF(nutrition!$B343&gt;300,"Tinggi Kalori",IF(nutrition!$B343&gt;100,"Kalori Sedang","Rendah Kalori"))</f>
        <v>Tinggi Kalori</v>
      </c>
      <c r="H343" s="27" t="s">
        <v>347</v>
      </c>
    </row>
    <row r="344" spans="1:8" x14ac:dyDescent="0.3">
      <c r="A344" s="21">
        <v>343</v>
      </c>
      <c r="B344" s="22">
        <v>403</v>
      </c>
      <c r="C344" s="22">
        <v>106</v>
      </c>
      <c r="D344" s="22">
        <v>22</v>
      </c>
      <c r="E344" s="22">
        <v>853</v>
      </c>
      <c r="F344" s="24" t="str">
        <f>PROPER(nutrition!$H344)</f>
        <v>Emping Beras</v>
      </c>
      <c r="G344" s="22" t="str">
        <f>IF(nutrition!$B344&gt;300,"Tinggi Kalori",IF(nutrition!$B344&gt;100,"Kalori Sedang","Rendah Kalori"))</f>
        <v>Tinggi Kalori</v>
      </c>
      <c r="H344" s="23" t="s">
        <v>348</v>
      </c>
    </row>
    <row r="345" spans="1:8" x14ac:dyDescent="0.3">
      <c r="A345" s="25">
        <v>344</v>
      </c>
      <c r="B345" s="26">
        <v>355</v>
      </c>
      <c r="C345" s="26">
        <v>178</v>
      </c>
      <c r="D345" s="26">
        <v>46</v>
      </c>
      <c r="E345" s="26">
        <v>607</v>
      </c>
      <c r="F345" s="28" t="str">
        <f>PROPER(nutrition!$H345)</f>
        <v>Emping Komak</v>
      </c>
      <c r="G345" s="26" t="str">
        <f>IF(nutrition!$B345&gt;300,"Tinggi Kalori",IF(nutrition!$B345&gt;100,"Kalori Sedang","Rendah Kalori"))</f>
        <v>Tinggi Kalori</v>
      </c>
      <c r="H345" s="27" t="s">
        <v>349</v>
      </c>
    </row>
    <row r="346" spans="1:8" x14ac:dyDescent="0.3">
      <c r="A346" s="21">
        <v>345</v>
      </c>
      <c r="B346" s="22">
        <v>122</v>
      </c>
      <c r="C346" s="22">
        <v>35</v>
      </c>
      <c r="D346" s="22">
        <v>45</v>
      </c>
      <c r="E346" s="22">
        <v>175</v>
      </c>
      <c r="F346" s="24" t="str">
        <f>PROPER(nutrition!$H346)</f>
        <v>Encung Asam Segar</v>
      </c>
      <c r="G346" s="22" t="str">
        <f>IF(nutrition!$B346&gt;300,"Tinggi Kalori",IF(nutrition!$B346&gt;100,"Kalori Sedang","Rendah Kalori"))</f>
        <v>Kalori Sedang</v>
      </c>
      <c r="H346" s="23" t="s">
        <v>350</v>
      </c>
    </row>
    <row r="347" spans="1:8" x14ac:dyDescent="0.3">
      <c r="A347" s="25">
        <v>346</v>
      </c>
      <c r="B347" s="26">
        <v>538</v>
      </c>
      <c r="C347" s="26">
        <v>136</v>
      </c>
      <c r="D347" s="26">
        <v>303</v>
      </c>
      <c r="E347" s="26">
        <v>526</v>
      </c>
      <c r="F347" s="28" t="str">
        <f>PROPER(nutrition!$H347)</f>
        <v>Enting-Enting Gepuk Hello Kity</v>
      </c>
      <c r="G347" s="26" t="str">
        <f>IF(nutrition!$B347&gt;300,"Tinggi Kalori",IF(nutrition!$B347&gt;100,"Kalori Sedang","Rendah Kalori"))</f>
        <v>Tinggi Kalori</v>
      </c>
      <c r="H347" s="27" t="s">
        <v>351</v>
      </c>
    </row>
    <row r="348" spans="1:8" x14ac:dyDescent="0.3">
      <c r="A348" s="21">
        <v>347</v>
      </c>
      <c r="B348" s="22">
        <v>524</v>
      </c>
      <c r="C348" s="22">
        <v>133</v>
      </c>
      <c r="D348" s="22">
        <v>292</v>
      </c>
      <c r="E348" s="22">
        <v>52</v>
      </c>
      <c r="F348" s="24" t="str">
        <f>PROPER(nutrition!$H348)</f>
        <v>Enting-Enting Gepuk Kacang Tanah</v>
      </c>
      <c r="G348" s="22" t="str">
        <f>IF(nutrition!$B348&gt;300,"Tinggi Kalori",IF(nutrition!$B348&gt;100,"Kalori Sedang","Rendah Kalori"))</f>
        <v>Tinggi Kalori</v>
      </c>
      <c r="H348" s="23" t="s">
        <v>352</v>
      </c>
    </row>
    <row r="349" spans="1:8" x14ac:dyDescent="0.3">
      <c r="A349" s="25">
        <v>348</v>
      </c>
      <c r="B349" s="26">
        <v>565</v>
      </c>
      <c r="C349" s="26">
        <v>182</v>
      </c>
      <c r="D349" s="26">
        <v>384</v>
      </c>
      <c r="E349" s="26">
        <v>368</v>
      </c>
      <c r="F349" s="28" t="str">
        <f>PROPER(nutrition!$H349)</f>
        <v>Enting-Enting Wijen</v>
      </c>
      <c r="G349" s="26" t="str">
        <f>IF(nutrition!$B349&gt;300,"Tinggi Kalori",IF(nutrition!$B349&gt;100,"Kalori Sedang","Rendah Kalori"))</f>
        <v>Tinggi Kalori</v>
      </c>
      <c r="H349" s="27" t="s">
        <v>353</v>
      </c>
    </row>
    <row r="350" spans="1:8" x14ac:dyDescent="0.3">
      <c r="A350" s="21">
        <v>349</v>
      </c>
      <c r="B350" s="22">
        <v>70</v>
      </c>
      <c r="C350" s="22">
        <v>6</v>
      </c>
      <c r="D350" s="22">
        <v>0</v>
      </c>
      <c r="E350" s="22">
        <v>189</v>
      </c>
      <c r="F350" s="24" t="str">
        <f>PROPER(nutrition!$H350)</f>
        <v>Erbis</v>
      </c>
      <c r="G350" s="22" t="str">
        <f>IF(nutrition!$B350&gt;300,"Tinggi Kalori",IF(nutrition!$B350&gt;100,"Kalori Sedang","Rendah Kalori"))</f>
        <v>Rendah Kalori</v>
      </c>
      <c r="H350" s="23" t="s">
        <v>354</v>
      </c>
    </row>
    <row r="351" spans="1:8" x14ac:dyDescent="0.3">
      <c r="A351" s="25">
        <v>350</v>
      </c>
      <c r="B351" s="26">
        <v>210</v>
      </c>
      <c r="C351" s="26">
        <v>4</v>
      </c>
      <c r="D351" s="26">
        <v>125</v>
      </c>
      <c r="E351" s="26">
        <v>206</v>
      </c>
      <c r="F351" s="28" t="str">
        <f>PROPER(nutrition!$H351)</f>
        <v>Es Krim</v>
      </c>
      <c r="G351" s="26" t="str">
        <f>IF(nutrition!$B351&gt;300,"Tinggi Kalori",IF(nutrition!$B351&gt;100,"Kalori Sedang","Rendah Kalori"))</f>
        <v>Kalori Sedang</v>
      </c>
      <c r="H351" s="27" t="s">
        <v>355</v>
      </c>
    </row>
    <row r="352" spans="1:8" x14ac:dyDescent="0.3">
      <c r="A352" s="21">
        <v>351</v>
      </c>
      <c r="B352" s="22">
        <v>1567</v>
      </c>
      <c r="C352" s="22">
        <v>3</v>
      </c>
      <c r="D352" s="22">
        <v>17</v>
      </c>
      <c r="E352" s="22">
        <v>327</v>
      </c>
      <c r="F352" s="24" t="str">
        <f>PROPER(nutrition!$H352)</f>
        <v xml:space="preserve">Es Krim (Coconut Milk) </v>
      </c>
      <c r="G352" s="22" t="str">
        <f>IF(nutrition!$B352&gt;300,"Tinggi Kalori",IF(nutrition!$B352&gt;100,"Kalori Sedang","Rendah Kalori"))</f>
        <v>Tinggi Kalori</v>
      </c>
      <c r="H352" s="23" t="s">
        <v>356</v>
      </c>
    </row>
    <row r="353" spans="1:8" x14ac:dyDescent="0.3">
      <c r="A353" s="25">
        <v>352</v>
      </c>
      <c r="B353" s="26">
        <v>152</v>
      </c>
      <c r="C353" s="26">
        <v>0</v>
      </c>
      <c r="D353" s="26">
        <v>0</v>
      </c>
      <c r="E353" s="26">
        <v>376</v>
      </c>
      <c r="F353" s="28" t="str">
        <f>PROPER(nutrition!$H353)</f>
        <v xml:space="preserve">Es Mambo </v>
      </c>
      <c r="G353" s="26" t="str">
        <f>IF(nutrition!$B353&gt;300,"Tinggi Kalori",IF(nutrition!$B353&gt;100,"Kalori Sedang","Rendah Kalori"))</f>
        <v>Kalori Sedang</v>
      </c>
      <c r="H353" s="27" t="s">
        <v>357</v>
      </c>
    </row>
    <row r="354" spans="1:8" x14ac:dyDescent="0.3">
      <c r="A354" s="21">
        <v>353</v>
      </c>
      <c r="B354" s="22">
        <v>448</v>
      </c>
      <c r="C354" s="22">
        <v>0</v>
      </c>
      <c r="D354" s="22">
        <v>0</v>
      </c>
      <c r="E354" s="22">
        <v>113</v>
      </c>
      <c r="F354" s="24" t="str">
        <f>PROPER(nutrition!$H354)</f>
        <v xml:space="preserve">Es Sirup </v>
      </c>
      <c r="G354" s="22" t="str">
        <f>IF(nutrition!$B354&gt;300,"Tinggi Kalori",IF(nutrition!$B354&gt;100,"Kalori Sedang","Rendah Kalori"))</f>
        <v>Tinggi Kalori</v>
      </c>
      <c r="H354" s="23" t="s">
        <v>358</v>
      </c>
    </row>
    <row r="355" spans="1:8" x14ac:dyDescent="0.3">
      <c r="A355" s="25">
        <v>354</v>
      </c>
      <c r="B355" s="26">
        <v>270</v>
      </c>
      <c r="C355" s="26">
        <v>123</v>
      </c>
      <c r="D355" s="26">
        <v>159</v>
      </c>
      <c r="E355" s="26">
        <v>193</v>
      </c>
      <c r="F355" s="28" t="str">
        <f>PROPER(nutrition!$H355)</f>
        <v>Fillet O-Fish</v>
      </c>
      <c r="G355" s="26" t="str">
        <f>IF(nutrition!$B355&gt;300,"Tinggi Kalori",IF(nutrition!$B355&gt;100,"Kalori Sedang","Rendah Kalori"))</f>
        <v>Kalori Sedang</v>
      </c>
      <c r="H355" s="27" t="s">
        <v>359</v>
      </c>
    </row>
    <row r="356" spans="1:8" x14ac:dyDescent="0.3">
      <c r="A356" s="21">
        <v>355</v>
      </c>
      <c r="B356" s="22">
        <v>322</v>
      </c>
      <c r="C356" s="22">
        <v>24</v>
      </c>
      <c r="D356" s="22">
        <v>6</v>
      </c>
      <c r="E356" s="22">
        <v>766</v>
      </c>
      <c r="F356" s="24" t="str">
        <f>PROPER(nutrition!$H356)</f>
        <v>Gadeng/Gadung Kering</v>
      </c>
      <c r="G356" s="22" t="str">
        <f>IF(nutrition!$B356&gt;300,"Tinggi Kalori",IF(nutrition!$B356&gt;100,"Kalori Sedang","Rendah Kalori"))</f>
        <v>Tinggi Kalori</v>
      </c>
      <c r="H356" s="23" t="s">
        <v>360</v>
      </c>
    </row>
    <row r="357" spans="1:8" x14ac:dyDescent="0.3">
      <c r="A357" s="25">
        <v>356</v>
      </c>
      <c r="B357" s="26">
        <v>137</v>
      </c>
      <c r="C357" s="26">
        <v>61</v>
      </c>
      <c r="D357" s="26">
        <v>32</v>
      </c>
      <c r="E357" s="26">
        <v>21</v>
      </c>
      <c r="F357" s="28" t="str">
        <f>PROPER(nutrition!$H357)</f>
        <v>Gado-Gado</v>
      </c>
      <c r="G357" s="26" t="str">
        <f>IF(nutrition!$B357&gt;300,"Tinggi Kalori",IF(nutrition!$B357&gt;100,"Kalori Sedang","Rendah Kalori"))</f>
        <v>Kalori Sedang</v>
      </c>
      <c r="H357" s="27" t="s">
        <v>361</v>
      </c>
    </row>
    <row r="358" spans="1:8" x14ac:dyDescent="0.3">
      <c r="A358" s="21">
        <v>357</v>
      </c>
      <c r="B358" s="22">
        <v>88</v>
      </c>
      <c r="C358" s="22">
        <v>8</v>
      </c>
      <c r="D358" s="22">
        <v>3</v>
      </c>
      <c r="E358" s="22">
        <v>209</v>
      </c>
      <c r="F358" s="24" t="str">
        <f>PROPER(nutrition!$H358)</f>
        <v>Gadung Kukus</v>
      </c>
      <c r="G358" s="22" t="str">
        <f>IF(nutrition!$B358&gt;300,"Tinggi Kalori",IF(nutrition!$B358&gt;100,"Kalori Sedang","Rendah Kalori"))</f>
        <v>Rendah Kalori</v>
      </c>
      <c r="H358" s="23" t="s">
        <v>362</v>
      </c>
    </row>
    <row r="359" spans="1:8" x14ac:dyDescent="0.3">
      <c r="A359" s="25">
        <v>358</v>
      </c>
      <c r="B359" s="26">
        <v>101</v>
      </c>
      <c r="C359" s="26">
        <v>21</v>
      </c>
      <c r="D359" s="26">
        <v>2</v>
      </c>
      <c r="E359" s="26">
        <v>232</v>
      </c>
      <c r="F359" s="28" t="str">
        <f>PROPER(nutrition!$H359)</f>
        <v>Gadung Mentah</v>
      </c>
      <c r="G359" s="26" t="str">
        <f>IF(nutrition!$B359&gt;300,"Tinggi Kalori",IF(nutrition!$B359&gt;100,"Kalori Sedang","Rendah Kalori"))</f>
        <v>Kalori Sedang</v>
      </c>
      <c r="H359" s="27" t="s">
        <v>363</v>
      </c>
    </row>
    <row r="360" spans="1:8" x14ac:dyDescent="0.3">
      <c r="A360" s="21">
        <v>359</v>
      </c>
      <c r="B360" s="22">
        <v>88</v>
      </c>
      <c r="C360" s="22">
        <v>6</v>
      </c>
      <c r="D360" s="22">
        <v>3</v>
      </c>
      <c r="E360" s="22">
        <v>209</v>
      </c>
      <c r="F360" s="24" t="str">
        <f>PROPER(nutrition!$H360)</f>
        <v>Gadung Ubi Kukus</v>
      </c>
      <c r="G360" s="22" t="str">
        <f>IF(nutrition!$B360&gt;300,"Tinggi Kalori",IF(nutrition!$B360&gt;100,"Kalori Sedang","Rendah Kalori"))</f>
        <v>Rendah Kalori</v>
      </c>
      <c r="H360" s="23" t="s">
        <v>364</v>
      </c>
    </row>
    <row r="361" spans="1:8" x14ac:dyDescent="0.3">
      <c r="A361" s="25">
        <v>360</v>
      </c>
      <c r="B361" s="26">
        <v>100</v>
      </c>
      <c r="C361" s="26">
        <v>9</v>
      </c>
      <c r="D361" s="26">
        <v>3</v>
      </c>
      <c r="E361" s="26">
        <v>235</v>
      </c>
      <c r="F361" s="28" t="str">
        <f>PROPER(nutrition!$H361)</f>
        <v>Gadung Ubi Segar</v>
      </c>
      <c r="G361" s="26" t="str">
        <f>IF(nutrition!$B361&gt;300,"Tinggi Kalori",IF(nutrition!$B361&gt;100,"Kalori Sedang","Rendah Kalori"))</f>
        <v>Rendah Kalori</v>
      </c>
      <c r="H361" s="27" t="s">
        <v>365</v>
      </c>
    </row>
    <row r="362" spans="1:8" x14ac:dyDescent="0.3">
      <c r="A362" s="21">
        <v>361</v>
      </c>
      <c r="B362" s="22">
        <v>18</v>
      </c>
      <c r="C362" s="22">
        <v>8</v>
      </c>
      <c r="D362" s="22">
        <v>2</v>
      </c>
      <c r="E362" s="22">
        <v>41</v>
      </c>
      <c r="F362" s="24" t="str">
        <f>PROPER(nutrition!$H362)</f>
        <v>Gambas (Oyong)</v>
      </c>
      <c r="G362" s="22" t="str">
        <f>IF(nutrition!$B362&gt;300,"Tinggi Kalori",IF(nutrition!$B362&gt;100,"Kalori Sedang","Rendah Kalori"))</f>
        <v>Rendah Kalori</v>
      </c>
      <c r="H362" s="23" t="s">
        <v>366</v>
      </c>
    </row>
    <row r="363" spans="1:8" x14ac:dyDescent="0.3">
      <c r="A363" s="25">
        <v>362</v>
      </c>
      <c r="B363" s="26">
        <v>13</v>
      </c>
      <c r="C363" s="26">
        <v>3</v>
      </c>
      <c r="D363" s="26">
        <v>6</v>
      </c>
      <c r="E363" s="26">
        <v>16</v>
      </c>
      <c r="F363" s="28" t="str">
        <f>PROPER(nutrition!$H363)</f>
        <v>Gambas Lodeh</v>
      </c>
      <c r="G363" s="26" t="str">
        <f>IF(nutrition!$B363&gt;300,"Tinggi Kalori",IF(nutrition!$B363&gt;100,"Kalori Sedang","Rendah Kalori"))</f>
        <v>Rendah Kalori</v>
      </c>
      <c r="H363" s="27" t="s">
        <v>367</v>
      </c>
    </row>
    <row r="364" spans="1:8" x14ac:dyDescent="0.3">
      <c r="A364" s="21">
        <v>363</v>
      </c>
      <c r="B364" s="22">
        <v>68</v>
      </c>
      <c r="C364" s="22">
        <v>7</v>
      </c>
      <c r="D364" s="22">
        <v>1</v>
      </c>
      <c r="E364" s="22">
        <v>18</v>
      </c>
      <c r="F364" s="24" t="str">
        <f>PROPER(nutrition!$H364)</f>
        <v>Gandaria</v>
      </c>
      <c r="G364" s="22" t="str">
        <f>IF(nutrition!$B364&gt;300,"Tinggi Kalori",IF(nutrition!$B364&gt;100,"Kalori Sedang","Rendah Kalori"))</f>
        <v>Rendah Kalori</v>
      </c>
      <c r="H364" s="23" t="s">
        <v>368</v>
      </c>
    </row>
    <row r="365" spans="1:8" x14ac:dyDescent="0.3">
      <c r="A365" s="25">
        <v>364</v>
      </c>
      <c r="B365" s="26">
        <v>100</v>
      </c>
      <c r="C365" s="26">
        <v>8</v>
      </c>
      <c r="D365" s="26">
        <v>2</v>
      </c>
      <c r="E365" s="26">
        <v>238</v>
      </c>
      <c r="F365" s="28" t="str">
        <f>PROPER(nutrition!$H365)</f>
        <v>Ganyong Kukus</v>
      </c>
      <c r="G365" s="26" t="str">
        <f>IF(nutrition!$B365&gt;300,"Tinggi Kalori",IF(nutrition!$B365&gt;100,"Kalori Sedang","Rendah Kalori"))</f>
        <v>Rendah Kalori</v>
      </c>
      <c r="H365" s="27" t="s">
        <v>369</v>
      </c>
    </row>
    <row r="366" spans="1:8" x14ac:dyDescent="0.3">
      <c r="A366" s="21">
        <v>365</v>
      </c>
      <c r="B366" s="22">
        <v>95</v>
      </c>
      <c r="C366" s="22">
        <v>1</v>
      </c>
      <c r="D366" s="22">
        <v>1</v>
      </c>
      <c r="E366" s="22">
        <v>226</v>
      </c>
      <c r="F366" s="24" t="str">
        <f>PROPER(nutrition!$H366)</f>
        <v>Ganyong Mentah</v>
      </c>
      <c r="G366" s="22" t="str">
        <f>IF(nutrition!$B366&gt;300,"Tinggi Kalori",IF(nutrition!$B366&gt;100,"Kalori Sedang","Rendah Kalori"))</f>
        <v>Rendah Kalori</v>
      </c>
      <c r="H366" s="23" t="s">
        <v>370</v>
      </c>
    </row>
    <row r="367" spans="1:8" x14ac:dyDescent="0.3">
      <c r="A367" s="25">
        <v>366</v>
      </c>
      <c r="B367" s="26">
        <v>100</v>
      </c>
      <c r="C367" s="26">
        <v>8</v>
      </c>
      <c r="D367" s="26">
        <v>2</v>
      </c>
      <c r="E367" s="26">
        <v>238</v>
      </c>
      <c r="F367" s="28" t="str">
        <f>PROPER(nutrition!$H367)</f>
        <v>Ganyong Rebus</v>
      </c>
      <c r="G367" s="26" t="str">
        <f>IF(nutrition!$B367&gt;300,"Tinggi Kalori",IF(nutrition!$B367&gt;100,"Kalori Sedang","Rendah Kalori"))</f>
        <v>Rendah Kalori</v>
      </c>
      <c r="H367" s="27" t="s">
        <v>371</v>
      </c>
    </row>
    <row r="368" spans="1:8" x14ac:dyDescent="0.3">
      <c r="A368" s="21">
        <v>367</v>
      </c>
      <c r="B368" s="22">
        <v>77</v>
      </c>
      <c r="C368" s="22">
        <v>6</v>
      </c>
      <c r="D368" s="22">
        <v>2</v>
      </c>
      <c r="E368" s="22">
        <v>184</v>
      </c>
      <c r="F368" s="24" t="str">
        <f>PROPER(nutrition!$H368)</f>
        <v>Ganyong Segar</v>
      </c>
      <c r="G368" s="22" t="str">
        <f>IF(nutrition!$B368&gt;300,"Tinggi Kalori",IF(nutrition!$B368&gt;100,"Kalori Sedang","Rendah Kalori"))</f>
        <v>Rendah Kalori</v>
      </c>
      <c r="H368" s="23" t="s">
        <v>372</v>
      </c>
    </row>
    <row r="369" spans="1:8" x14ac:dyDescent="0.3">
      <c r="A369" s="25">
        <v>368</v>
      </c>
      <c r="B369" s="26">
        <v>338</v>
      </c>
      <c r="C369" s="26">
        <v>15</v>
      </c>
      <c r="D369" s="26">
        <v>7</v>
      </c>
      <c r="E369" s="26">
        <v>813</v>
      </c>
      <c r="F369" s="28" t="str">
        <f>PROPER(nutrition!$H369)</f>
        <v>Gaplek</v>
      </c>
      <c r="G369" s="26" t="str">
        <f>IF(nutrition!$B369&gt;300,"Tinggi Kalori",IF(nutrition!$B369&gt;100,"Kalori Sedang","Rendah Kalori"))</f>
        <v>Tinggi Kalori</v>
      </c>
      <c r="H369" s="27" t="s">
        <v>373</v>
      </c>
    </row>
    <row r="370" spans="1:8" x14ac:dyDescent="0.3">
      <c r="A370" s="21">
        <v>369</v>
      </c>
      <c r="B370" s="22">
        <v>191</v>
      </c>
      <c r="C370" s="22">
        <v>45</v>
      </c>
      <c r="D370" s="22">
        <v>15</v>
      </c>
      <c r="E370" s="22">
        <v>397</v>
      </c>
      <c r="F370" s="24" t="str">
        <f>PROPER(nutrition!$H370)</f>
        <v>Gatep Segar</v>
      </c>
      <c r="G370" s="22" t="str">
        <f>IF(nutrition!$B370&gt;300,"Tinggi Kalori",IF(nutrition!$B370&gt;100,"Kalori Sedang","Rendah Kalori"))</f>
        <v>Kalori Sedang</v>
      </c>
      <c r="H370" s="23" t="s">
        <v>374</v>
      </c>
    </row>
    <row r="371" spans="1:8" x14ac:dyDescent="0.3">
      <c r="A371" s="25">
        <v>370</v>
      </c>
      <c r="B371" s="26">
        <v>347</v>
      </c>
      <c r="C371" s="26">
        <v>13</v>
      </c>
      <c r="D371" s="26">
        <v>7</v>
      </c>
      <c r="E371" s="26">
        <v>838</v>
      </c>
      <c r="F371" s="28" t="str">
        <f>PROPER(nutrition!$H371)</f>
        <v>Gatot</v>
      </c>
      <c r="G371" s="26" t="str">
        <f>IF(nutrition!$B371&gt;300,"Tinggi Kalori",IF(nutrition!$B371&gt;100,"Kalori Sedang","Rendah Kalori"))</f>
        <v>Tinggi Kalori</v>
      </c>
      <c r="H371" s="27" t="s">
        <v>375</v>
      </c>
    </row>
    <row r="372" spans="1:8" x14ac:dyDescent="0.3">
      <c r="A372" s="21">
        <v>371</v>
      </c>
      <c r="B372" s="22">
        <v>195</v>
      </c>
      <c r="C372" s="22">
        <v>4</v>
      </c>
      <c r="D372" s="22">
        <v>17</v>
      </c>
      <c r="E372" s="22">
        <v>444</v>
      </c>
      <c r="F372" s="24" t="str">
        <f>PROPER(nutrition!$H372)</f>
        <v>Geblek</v>
      </c>
      <c r="G372" s="22" t="str">
        <f>IF(nutrition!$B372&gt;300,"Tinggi Kalori",IF(nutrition!$B372&gt;100,"Kalori Sedang","Rendah Kalori"))</f>
        <v>Kalori Sedang</v>
      </c>
      <c r="H372" s="23" t="s">
        <v>376</v>
      </c>
    </row>
    <row r="373" spans="1:8" x14ac:dyDescent="0.3">
      <c r="A373" s="25">
        <v>372</v>
      </c>
      <c r="B373" s="26">
        <v>389</v>
      </c>
      <c r="C373" s="26">
        <v>0</v>
      </c>
      <c r="D373" s="26">
        <v>0</v>
      </c>
      <c r="E373" s="26">
        <v>91</v>
      </c>
      <c r="F373" s="28" t="str">
        <f>PROPER(nutrition!$H373)</f>
        <v>Gelatine</v>
      </c>
      <c r="G373" s="26" t="str">
        <f>IF(nutrition!$B373&gt;300,"Tinggi Kalori",IF(nutrition!$B373&gt;100,"Kalori Sedang","Rendah Kalori"))</f>
        <v>Tinggi Kalori</v>
      </c>
      <c r="H373" s="27" t="s">
        <v>377</v>
      </c>
    </row>
    <row r="374" spans="1:8" x14ac:dyDescent="0.3">
      <c r="A374" s="21">
        <v>373</v>
      </c>
      <c r="B374" s="22">
        <v>95</v>
      </c>
      <c r="C374" s="22">
        <v>15</v>
      </c>
      <c r="D374" s="22">
        <v>1</v>
      </c>
      <c r="E374" s="22">
        <v>224</v>
      </c>
      <c r="F374" s="24" t="str">
        <f>PROPER(nutrition!$H374)</f>
        <v>Gembili</v>
      </c>
      <c r="G374" s="22" t="str">
        <f>IF(nutrition!$B374&gt;300,"Tinggi Kalori",IF(nutrition!$B374&gt;100,"Kalori Sedang","Rendah Kalori"))</f>
        <v>Rendah Kalori</v>
      </c>
      <c r="H374" s="23" t="s">
        <v>378</v>
      </c>
    </row>
    <row r="375" spans="1:8" x14ac:dyDescent="0.3">
      <c r="A375" s="25">
        <v>374</v>
      </c>
      <c r="B375" s="26">
        <v>131</v>
      </c>
      <c r="C375" s="26">
        <v>11</v>
      </c>
      <c r="D375" s="26">
        <v>2</v>
      </c>
      <c r="E375" s="26">
        <v>313</v>
      </c>
      <c r="F375" s="28" t="str">
        <f>PROPER(nutrition!$H375)</f>
        <v>Gembili Ubi Segar</v>
      </c>
      <c r="G375" s="26" t="str">
        <f>IF(nutrition!$B375&gt;300,"Tinggi Kalori",IF(nutrition!$B375&gt;100,"Kalori Sedang","Rendah Kalori"))</f>
        <v>Kalori Sedang</v>
      </c>
      <c r="H375" s="27" t="s">
        <v>379</v>
      </c>
    </row>
    <row r="376" spans="1:8" x14ac:dyDescent="0.3">
      <c r="A376" s="21">
        <v>375</v>
      </c>
      <c r="B376" s="22">
        <v>274</v>
      </c>
      <c r="C376" s="22">
        <v>17</v>
      </c>
      <c r="D376" s="22">
        <v>54</v>
      </c>
      <c r="E376" s="22">
        <v>555</v>
      </c>
      <c r="F376" s="24" t="str">
        <f>PROPER(nutrition!$H376)</f>
        <v>Gemblong</v>
      </c>
      <c r="G376" s="22" t="str">
        <f>IF(nutrition!$B376&gt;300,"Tinggi Kalori",IF(nutrition!$B376&gt;100,"Kalori Sedang","Rendah Kalori"))</f>
        <v>Kalori Sedang</v>
      </c>
      <c r="H376" s="23" t="s">
        <v>380</v>
      </c>
    </row>
    <row r="377" spans="1:8" x14ac:dyDescent="0.3">
      <c r="A377" s="25">
        <v>376</v>
      </c>
      <c r="B377" s="26">
        <v>407</v>
      </c>
      <c r="C377" s="26">
        <v>64</v>
      </c>
      <c r="D377" s="26">
        <v>282</v>
      </c>
      <c r="E377" s="26">
        <v>32</v>
      </c>
      <c r="F377" s="28" t="str">
        <f>PROPER(nutrition!$H377)</f>
        <v>Gendar Goreng</v>
      </c>
      <c r="G377" s="26" t="str">
        <f>IF(nutrition!$B377&gt;300,"Tinggi Kalori",IF(nutrition!$B377&gt;100,"Kalori Sedang","Rendah Kalori"))</f>
        <v>Tinggi Kalori</v>
      </c>
      <c r="H377" s="27" t="s">
        <v>381</v>
      </c>
    </row>
    <row r="378" spans="1:8" x14ac:dyDescent="0.3">
      <c r="A378" s="21">
        <v>377</v>
      </c>
      <c r="B378" s="22">
        <v>35</v>
      </c>
      <c r="C378" s="22">
        <v>17</v>
      </c>
      <c r="D378" s="22">
        <v>2</v>
      </c>
      <c r="E378" s="22">
        <v>77</v>
      </c>
      <c r="F378" s="24" t="str">
        <f>PROPER(nutrition!$H378)</f>
        <v>Genjer Segar</v>
      </c>
      <c r="G378" s="22" t="str">
        <f>IF(nutrition!$B378&gt;300,"Tinggi Kalori",IF(nutrition!$B378&gt;100,"Kalori Sedang","Rendah Kalori"))</f>
        <v>Rendah Kalori</v>
      </c>
      <c r="H378" s="23" t="s">
        <v>382</v>
      </c>
    </row>
    <row r="379" spans="1:8" x14ac:dyDescent="0.3">
      <c r="A379" s="25">
        <v>378</v>
      </c>
      <c r="B379" s="26">
        <v>350</v>
      </c>
      <c r="C379" s="26">
        <v>14</v>
      </c>
      <c r="D379" s="26">
        <v>144</v>
      </c>
      <c r="E379" s="26">
        <v>536</v>
      </c>
      <c r="F379" s="28" t="str">
        <f>PROPER(nutrition!$H379)</f>
        <v>Geplak</v>
      </c>
      <c r="G379" s="26" t="str">
        <f>IF(nutrition!$B379&gt;300,"Tinggi Kalori",IF(nutrition!$B379&gt;100,"Kalori Sedang","Rendah Kalori"))</f>
        <v>Tinggi Kalori</v>
      </c>
      <c r="H379" s="27" t="s">
        <v>383</v>
      </c>
    </row>
    <row r="380" spans="1:8" x14ac:dyDescent="0.3">
      <c r="A380" s="21">
        <v>379</v>
      </c>
      <c r="B380" s="22">
        <v>462</v>
      </c>
      <c r="C380" s="22">
        <v>31</v>
      </c>
      <c r="D380" s="22">
        <v>244</v>
      </c>
      <c r="E380" s="22">
        <v>577</v>
      </c>
      <c r="F380" s="24" t="str">
        <f>PROPER(nutrition!$H380)</f>
        <v>Geplak Jahe</v>
      </c>
      <c r="G380" s="22" t="str">
        <f>IF(nutrition!$B380&gt;300,"Tinggi Kalori",IF(nutrition!$B380&gt;100,"Kalori Sedang","Rendah Kalori"))</f>
        <v>Tinggi Kalori</v>
      </c>
      <c r="H380" s="23" t="s">
        <v>384</v>
      </c>
    </row>
    <row r="381" spans="1:8" x14ac:dyDescent="0.3">
      <c r="A381" s="25">
        <v>380</v>
      </c>
      <c r="B381" s="26">
        <v>75</v>
      </c>
      <c r="C381" s="26">
        <v>82</v>
      </c>
      <c r="D381" s="26">
        <v>2</v>
      </c>
      <c r="E381" s="26">
        <v>6</v>
      </c>
      <c r="F381" s="28" t="str">
        <f>PROPER(nutrition!$H381)</f>
        <v>Gete Kuah Asam Masakan</v>
      </c>
      <c r="G381" s="26" t="str">
        <f>IF(nutrition!$B381&gt;300,"Tinggi Kalori",IF(nutrition!$B381&gt;100,"Kalori Sedang","Rendah Kalori"))</f>
        <v>Rendah Kalori</v>
      </c>
      <c r="H381" s="27" t="s">
        <v>385</v>
      </c>
    </row>
    <row r="382" spans="1:8" x14ac:dyDescent="0.3">
      <c r="A382" s="21">
        <v>381</v>
      </c>
      <c r="B382" s="22">
        <v>360</v>
      </c>
      <c r="C382" s="22">
        <v>13</v>
      </c>
      <c r="D382" s="22">
        <v>64</v>
      </c>
      <c r="E382" s="22">
        <v>743</v>
      </c>
      <c r="F382" s="24" t="str">
        <f>PROPER(nutrition!$H382)</f>
        <v>Getuk Goreng</v>
      </c>
      <c r="G382" s="22" t="str">
        <f>IF(nutrition!$B382&gt;300,"Tinggi Kalori",IF(nutrition!$B382&gt;100,"Kalori Sedang","Rendah Kalori"))</f>
        <v>Tinggi Kalori</v>
      </c>
      <c r="H382" s="23" t="s">
        <v>386</v>
      </c>
    </row>
    <row r="383" spans="1:8" x14ac:dyDescent="0.3">
      <c r="A383" s="25">
        <v>382</v>
      </c>
      <c r="B383" s="26">
        <v>1714</v>
      </c>
      <c r="C383" s="26">
        <v>4</v>
      </c>
      <c r="D383" s="26">
        <v>4</v>
      </c>
      <c r="E383" s="26">
        <v>32</v>
      </c>
      <c r="F383" s="28" t="str">
        <f>PROPER(nutrition!$H383)</f>
        <v xml:space="preserve">Getuk Lindri </v>
      </c>
      <c r="G383" s="26" t="str">
        <f>IF(nutrition!$B383&gt;300,"Tinggi Kalori",IF(nutrition!$B383&gt;100,"Kalori Sedang","Rendah Kalori"))</f>
        <v>Tinggi Kalori</v>
      </c>
      <c r="H383" s="27" t="s">
        <v>387</v>
      </c>
    </row>
    <row r="384" spans="1:8" x14ac:dyDescent="0.3">
      <c r="A384" s="21">
        <v>383</v>
      </c>
      <c r="B384" s="22">
        <v>144</v>
      </c>
      <c r="C384" s="22">
        <v>11</v>
      </c>
      <c r="D384" s="22">
        <v>4</v>
      </c>
      <c r="E384" s="22">
        <v>341</v>
      </c>
      <c r="F384" s="24" t="str">
        <f>PROPER(nutrition!$H384)</f>
        <v>Getuk Pisang</v>
      </c>
      <c r="G384" s="22" t="str">
        <f>IF(nutrition!$B384&gt;300,"Tinggi Kalori",IF(nutrition!$B384&gt;100,"Kalori Sedang","Rendah Kalori"))</f>
        <v>Kalori Sedang</v>
      </c>
      <c r="H384" s="23" t="s">
        <v>388</v>
      </c>
    </row>
    <row r="385" spans="1:8" x14ac:dyDescent="0.3">
      <c r="A385" s="25">
        <v>384</v>
      </c>
      <c r="B385" s="26">
        <v>204</v>
      </c>
      <c r="C385" s="26">
        <v>5</v>
      </c>
      <c r="D385" s="26">
        <v>14</v>
      </c>
      <c r="E385" s="26">
        <v>474</v>
      </c>
      <c r="F385" s="28" t="str">
        <f>PROPER(nutrition!$H385)</f>
        <v>Getuk Singkong</v>
      </c>
      <c r="G385" s="26" t="str">
        <f>IF(nutrition!$B385&gt;300,"Tinggi Kalori",IF(nutrition!$B385&gt;100,"Kalori Sedang","Rendah Kalori"))</f>
        <v>Kalori Sedang</v>
      </c>
      <c r="H385" s="27" t="s">
        <v>389</v>
      </c>
    </row>
    <row r="386" spans="1:8" x14ac:dyDescent="0.3">
      <c r="A386" s="21">
        <v>385</v>
      </c>
      <c r="B386" s="22">
        <v>114</v>
      </c>
      <c r="C386" s="22">
        <v>163</v>
      </c>
      <c r="D386" s="22">
        <v>46</v>
      </c>
      <c r="E386" s="22">
        <v>8</v>
      </c>
      <c r="F386" s="24" t="str">
        <f>PROPER(nutrition!$H386)</f>
        <v>Ginjal Babi</v>
      </c>
      <c r="G386" s="22" t="str">
        <f>IF(nutrition!$B386&gt;300,"Tinggi Kalori",IF(nutrition!$B386&gt;100,"Kalori Sedang","Rendah Kalori"))</f>
        <v>Kalori Sedang</v>
      </c>
      <c r="H386" s="23" t="s">
        <v>390</v>
      </c>
    </row>
    <row r="387" spans="1:8" x14ac:dyDescent="0.3">
      <c r="A387" s="25">
        <v>386</v>
      </c>
      <c r="B387" s="26">
        <v>105</v>
      </c>
      <c r="C387" s="26">
        <v>166</v>
      </c>
      <c r="D387" s="26">
        <v>33</v>
      </c>
      <c r="E387" s="26">
        <v>1</v>
      </c>
      <c r="F387" s="28" t="str">
        <f>PROPER(nutrition!$H387)</f>
        <v>Ginjal Domba</v>
      </c>
      <c r="G387" s="26" t="str">
        <f>IF(nutrition!$B387&gt;300,"Tinggi Kalori",IF(nutrition!$B387&gt;100,"Kalori Sedang","Rendah Kalori"))</f>
        <v>Kalori Sedang</v>
      </c>
      <c r="H387" s="27" t="s">
        <v>391</v>
      </c>
    </row>
    <row r="388" spans="1:8" x14ac:dyDescent="0.3">
      <c r="A388" s="21">
        <v>387</v>
      </c>
      <c r="B388" s="22">
        <v>141</v>
      </c>
      <c r="C388" s="22">
        <v>15</v>
      </c>
      <c r="D388" s="22">
        <v>81</v>
      </c>
      <c r="E388" s="22">
        <v>9</v>
      </c>
      <c r="F388" s="24" t="str">
        <f>PROPER(nutrition!$H388)</f>
        <v>Ginjal Sapi</v>
      </c>
      <c r="G388" s="22" t="str">
        <f>IF(nutrition!$B388&gt;300,"Tinggi Kalori",IF(nutrition!$B388&gt;100,"Kalori Sedang","Rendah Kalori"))</f>
        <v>Kalori Sedang</v>
      </c>
      <c r="H388" s="23" t="s">
        <v>392</v>
      </c>
    </row>
    <row r="389" spans="1:8" x14ac:dyDescent="0.3">
      <c r="A389" s="25">
        <v>388</v>
      </c>
      <c r="B389" s="26">
        <v>53</v>
      </c>
      <c r="C389" s="26">
        <v>16</v>
      </c>
      <c r="D389" s="26">
        <v>16</v>
      </c>
      <c r="E389" s="26">
        <v>88</v>
      </c>
      <c r="F389" s="28" t="str">
        <f>PROPER(nutrition!$H389)</f>
        <v xml:space="preserve">Gudeg </v>
      </c>
      <c r="G389" s="26" t="str">
        <f>IF(nutrition!$B389&gt;300,"Tinggi Kalori",IF(nutrition!$B389&gt;100,"Kalori Sedang","Rendah Kalori"))</f>
        <v>Rendah Kalori</v>
      </c>
      <c r="H389" s="27" t="s">
        <v>393</v>
      </c>
    </row>
    <row r="390" spans="1:8" x14ac:dyDescent="0.3">
      <c r="A390" s="21">
        <v>389</v>
      </c>
      <c r="B390" s="22">
        <v>160</v>
      </c>
      <c r="C390" s="22">
        <v>33</v>
      </c>
      <c r="D390" s="22">
        <v>92</v>
      </c>
      <c r="E390" s="22">
        <v>16</v>
      </c>
      <c r="F390" s="24" t="str">
        <f>PROPER(nutrition!$H390)</f>
        <v>Gudeg Sayur</v>
      </c>
      <c r="G390" s="22" t="str">
        <f>IF(nutrition!$B390&gt;300,"Tinggi Kalori",IF(nutrition!$B390&gt;100,"Kalori Sedang","Rendah Kalori"))</f>
        <v>Kalori Sedang</v>
      </c>
      <c r="H390" s="23" t="s">
        <v>394</v>
      </c>
    </row>
    <row r="391" spans="1:8" x14ac:dyDescent="0.3">
      <c r="A391" s="25">
        <v>390</v>
      </c>
      <c r="B391" s="26">
        <v>368</v>
      </c>
      <c r="C391" s="26">
        <v>0</v>
      </c>
      <c r="D391" s="26">
        <v>0</v>
      </c>
      <c r="E391" s="26">
        <v>95</v>
      </c>
      <c r="F391" s="28" t="str">
        <f>PROPER(nutrition!$H391)</f>
        <v>Gula Aren</v>
      </c>
      <c r="G391" s="26" t="str">
        <f>IF(nutrition!$B391&gt;300,"Tinggi Kalori",IF(nutrition!$B391&gt;100,"Kalori Sedang","Rendah Kalori"))</f>
        <v>Tinggi Kalori</v>
      </c>
      <c r="H391" s="27" t="s">
        <v>395</v>
      </c>
    </row>
    <row r="392" spans="1:8" x14ac:dyDescent="0.3">
      <c r="A392" s="21">
        <v>391</v>
      </c>
      <c r="B392" s="22">
        <v>386</v>
      </c>
      <c r="C392" s="22">
        <v>3</v>
      </c>
      <c r="D392" s="22">
        <v>10</v>
      </c>
      <c r="E392" s="22">
        <v>76</v>
      </c>
      <c r="F392" s="24" t="str">
        <f>PROPER(nutrition!$H392)</f>
        <v>Gula Kelapa</v>
      </c>
      <c r="G392" s="22" t="str">
        <f>IF(nutrition!$B392&gt;300,"Tinggi Kalori",IF(nutrition!$B392&gt;100,"Kalori Sedang","Rendah Kalori"))</f>
        <v>Tinggi Kalori</v>
      </c>
      <c r="H392" s="23" t="s">
        <v>396</v>
      </c>
    </row>
    <row r="393" spans="1:8" x14ac:dyDescent="0.3">
      <c r="A393" s="25">
        <v>392</v>
      </c>
      <c r="B393" s="26">
        <v>356</v>
      </c>
      <c r="C393" s="26">
        <v>4</v>
      </c>
      <c r="D393" s="26">
        <v>5</v>
      </c>
      <c r="E393" s="26">
        <v>906</v>
      </c>
      <c r="F393" s="28" t="str">
        <f>PROPER(nutrition!$H393)</f>
        <v>Gula Merah Tebu Belum Dimurnikan</v>
      </c>
      <c r="G393" s="26" t="str">
        <f>IF(nutrition!$B393&gt;300,"Tinggi Kalori",IF(nutrition!$B393&gt;100,"Kalori Sedang","Rendah Kalori"))</f>
        <v>Tinggi Kalori</v>
      </c>
      <c r="H393" s="27" t="s">
        <v>397</v>
      </c>
    </row>
    <row r="394" spans="1:8" x14ac:dyDescent="0.3">
      <c r="A394" s="21">
        <v>393</v>
      </c>
      <c r="B394" s="22">
        <v>394</v>
      </c>
      <c r="C394" s="22">
        <v>0</v>
      </c>
      <c r="D394" s="22">
        <v>0</v>
      </c>
      <c r="E394" s="22">
        <v>94</v>
      </c>
      <c r="F394" s="24" t="str">
        <f>PROPER(nutrition!$H394)</f>
        <v>Gula Putih</v>
      </c>
      <c r="G394" s="22" t="str">
        <f>IF(nutrition!$B394&gt;300,"Tinggi Kalori",IF(nutrition!$B394&gt;100,"Kalori Sedang","Rendah Kalori"))</f>
        <v>Tinggi Kalori</v>
      </c>
      <c r="H394" s="23" t="s">
        <v>398</v>
      </c>
    </row>
    <row r="395" spans="1:8" x14ac:dyDescent="0.3">
      <c r="A395" s="25">
        <v>394</v>
      </c>
      <c r="B395" s="26">
        <v>52</v>
      </c>
      <c r="C395" s="26">
        <v>10</v>
      </c>
      <c r="D395" s="26">
        <v>5</v>
      </c>
      <c r="E395" s="26">
        <v>18</v>
      </c>
      <c r="F395" s="28" t="str">
        <f>PROPER(nutrition!$H395)</f>
        <v>Gulai Asam Keueung Masakan</v>
      </c>
      <c r="G395" s="26" t="str">
        <f>IF(nutrition!$B395&gt;300,"Tinggi Kalori",IF(nutrition!$B395&gt;100,"Kalori Sedang","Rendah Kalori"))</f>
        <v>Rendah Kalori</v>
      </c>
      <c r="H395" s="27" t="s">
        <v>399</v>
      </c>
    </row>
    <row r="396" spans="1:8" x14ac:dyDescent="0.3">
      <c r="A396" s="21">
        <v>395</v>
      </c>
      <c r="B396" s="22">
        <v>106</v>
      </c>
      <c r="C396" s="22">
        <v>165</v>
      </c>
      <c r="D396" s="22">
        <v>33</v>
      </c>
      <c r="E396" s="22">
        <v>25</v>
      </c>
      <c r="F396" s="24" t="str">
        <f>PROPER(nutrition!$H396)</f>
        <v>Gulai Ikan Masakan</v>
      </c>
      <c r="G396" s="22" t="str">
        <f>IF(nutrition!$B396&gt;300,"Tinggi Kalori",IF(nutrition!$B396&gt;100,"Kalori Sedang","Rendah Kalori"))</f>
        <v>Kalori Sedang</v>
      </c>
      <c r="H396" s="23" t="s">
        <v>400</v>
      </c>
    </row>
    <row r="397" spans="1:8" x14ac:dyDescent="0.3">
      <c r="A397" s="25">
        <v>396</v>
      </c>
      <c r="B397" s="26">
        <v>148</v>
      </c>
      <c r="C397" s="26">
        <v>10</v>
      </c>
      <c r="D397" s="26">
        <v>98</v>
      </c>
      <c r="E397" s="26">
        <v>5</v>
      </c>
      <c r="F397" s="28" t="str">
        <f>PROPER(nutrition!$H397)</f>
        <v>Gulai Ikan Paya Masakan</v>
      </c>
      <c r="G397" s="26" t="str">
        <f>IF(nutrition!$B397&gt;300,"Tinggi Kalori",IF(nutrition!$B397&gt;100,"Kalori Sedang","Rendah Kalori"))</f>
        <v>Kalori Sedang</v>
      </c>
      <c r="H397" s="27" t="s">
        <v>401</v>
      </c>
    </row>
    <row r="398" spans="1:8" x14ac:dyDescent="0.3">
      <c r="A398" s="21">
        <v>397</v>
      </c>
      <c r="B398" s="22">
        <v>126</v>
      </c>
      <c r="C398" s="22">
        <v>42</v>
      </c>
      <c r="D398" s="22">
        <v>94</v>
      </c>
      <c r="E398" s="22">
        <v>62</v>
      </c>
      <c r="F398" s="24" t="str">
        <f>PROPER(nutrition!$H398)</f>
        <v>Gulai Kambing</v>
      </c>
      <c r="G398" s="22" t="str">
        <f>IF(nutrition!$B398&gt;300,"Tinggi Kalori",IF(nutrition!$B398&gt;100,"Kalori Sedang","Rendah Kalori"))</f>
        <v>Kalori Sedang</v>
      </c>
      <c r="H398" s="23" t="s">
        <v>402</v>
      </c>
    </row>
    <row r="399" spans="1:8" x14ac:dyDescent="0.3">
      <c r="A399" s="25">
        <v>398</v>
      </c>
      <c r="B399" s="26">
        <v>110</v>
      </c>
      <c r="C399" s="26">
        <v>59</v>
      </c>
      <c r="D399" s="26">
        <v>82</v>
      </c>
      <c r="E399" s="26">
        <v>32</v>
      </c>
      <c r="F399" s="28" t="str">
        <f>PROPER(nutrition!$H399)</f>
        <v>Gulai Keumamah Masakan</v>
      </c>
      <c r="G399" s="26" t="str">
        <f>IF(nutrition!$B399&gt;300,"Tinggi Kalori",IF(nutrition!$B399&gt;100,"Kalori Sedang","Rendah Kalori"))</f>
        <v>Kalori Sedang</v>
      </c>
      <c r="H399" s="27" t="s">
        <v>403</v>
      </c>
    </row>
    <row r="400" spans="1:8" x14ac:dyDescent="0.3">
      <c r="A400" s="21">
        <v>399</v>
      </c>
      <c r="B400" s="22">
        <v>143</v>
      </c>
      <c r="C400" s="22">
        <v>4</v>
      </c>
      <c r="D400" s="22">
        <v>114</v>
      </c>
      <c r="E400" s="22">
        <v>6</v>
      </c>
      <c r="F400" s="24" t="str">
        <f>PROPER(nutrition!$H400)</f>
        <v>Gulai Pakis</v>
      </c>
      <c r="G400" s="22" t="str">
        <f>IF(nutrition!$B400&gt;300,"Tinggi Kalori",IF(nutrition!$B400&gt;100,"Kalori Sedang","Rendah Kalori"))</f>
        <v>Kalori Sedang</v>
      </c>
      <c r="H400" s="23" t="s">
        <v>404</v>
      </c>
    </row>
    <row r="401" spans="1:8" x14ac:dyDescent="0.3">
      <c r="A401" s="25">
        <v>400</v>
      </c>
      <c r="B401" s="26">
        <v>176</v>
      </c>
      <c r="C401" s="26">
        <v>73</v>
      </c>
      <c r="D401" s="26">
        <v>149</v>
      </c>
      <c r="E401" s="26">
        <v>32</v>
      </c>
      <c r="F401" s="28" t="str">
        <f>PROPER(nutrition!$H401)</f>
        <v>Gulai Pliek</v>
      </c>
      <c r="G401" s="26" t="str">
        <f>IF(nutrition!$B401&gt;300,"Tinggi Kalori",IF(nutrition!$B401&gt;100,"Kalori Sedang","Rendah Kalori"))</f>
        <v>Kalori Sedang</v>
      </c>
      <c r="H401" s="27" t="s">
        <v>405</v>
      </c>
    </row>
    <row r="402" spans="1:8" x14ac:dyDescent="0.3">
      <c r="A402" s="21">
        <v>401</v>
      </c>
      <c r="B402" s="22">
        <v>132</v>
      </c>
      <c r="C402" s="22">
        <v>9</v>
      </c>
      <c r="D402" s="22">
        <v>72</v>
      </c>
      <c r="E402" s="22">
        <v>78</v>
      </c>
      <c r="F402" s="24" t="str">
        <f>PROPER(nutrition!$H402)</f>
        <v>Gulai Tiram Masakan</v>
      </c>
      <c r="G402" s="22" t="str">
        <f>IF(nutrition!$B402&gt;300,"Tinggi Kalori",IF(nutrition!$B402&gt;100,"Kalori Sedang","Rendah Kalori"))</f>
        <v>Kalori Sedang</v>
      </c>
      <c r="H402" s="23" t="s">
        <v>406</v>
      </c>
    </row>
    <row r="403" spans="1:8" x14ac:dyDescent="0.3">
      <c r="A403" s="25">
        <v>402</v>
      </c>
      <c r="B403" s="26">
        <v>192</v>
      </c>
      <c r="C403" s="26">
        <v>127</v>
      </c>
      <c r="D403" s="26">
        <v>101</v>
      </c>
      <c r="E403" s="26">
        <v>127</v>
      </c>
      <c r="F403" s="28" t="str">
        <f>PROPER(nutrition!$H403)</f>
        <v>Gurame Asem Manis Masakan</v>
      </c>
      <c r="G403" s="26" t="str">
        <f>IF(nutrition!$B403&gt;300,"Tinggi Kalori",IF(nutrition!$B403&gt;100,"Kalori Sedang","Rendah Kalori"))</f>
        <v>Kalori Sedang</v>
      </c>
      <c r="H403" s="27" t="s">
        <v>407</v>
      </c>
    </row>
    <row r="404" spans="1:8" x14ac:dyDescent="0.3">
      <c r="A404" s="21">
        <v>403</v>
      </c>
      <c r="B404" s="22">
        <v>218</v>
      </c>
      <c r="C404" s="22">
        <v>5</v>
      </c>
      <c r="D404" s="22">
        <v>25</v>
      </c>
      <c r="E404" s="22">
        <v>485</v>
      </c>
      <c r="F404" s="24" t="str">
        <f>PROPER(nutrition!$H404)</f>
        <v>Gurandil</v>
      </c>
      <c r="G404" s="22" t="str">
        <f>IF(nutrition!$B404&gt;300,"Tinggi Kalori",IF(nutrition!$B404&gt;100,"Kalori Sedang","Rendah Kalori"))</f>
        <v>Kalori Sedang</v>
      </c>
      <c r="H404" s="23" t="s">
        <v>408</v>
      </c>
    </row>
    <row r="405" spans="1:8" x14ac:dyDescent="0.3">
      <c r="A405" s="25">
        <v>404</v>
      </c>
      <c r="B405" s="26">
        <v>389</v>
      </c>
      <c r="C405" s="26">
        <v>169</v>
      </c>
      <c r="D405" s="26">
        <v>35</v>
      </c>
      <c r="E405" s="26">
        <v>3</v>
      </c>
      <c r="F405" s="28" t="str">
        <f>PROPER(nutrition!$H405)</f>
        <v>Ham</v>
      </c>
      <c r="G405" s="26" t="str">
        <f>IF(nutrition!$B405&gt;300,"Tinggi Kalori",IF(nutrition!$B405&gt;100,"Kalori Sedang","Rendah Kalori"))</f>
        <v>Tinggi Kalori</v>
      </c>
      <c r="H405" s="27" t="s">
        <v>409</v>
      </c>
    </row>
    <row r="406" spans="1:8" x14ac:dyDescent="0.3">
      <c r="A406" s="21">
        <v>405</v>
      </c>
      <c r="B406" s="22">
        <v>65</v>
      </c>
      <c r="C406" s="22">
        <v>10</v>
      </c>
      <c r="D406" s="22">
        <v>1</v>
      </c>
      <c r="E406" s="22">
        <v>35</v>
      </c>
      <c r="F406" s="24" t="str">
        <f>PROPER(nutrition!$H406)</f>
        <v>Hangop</v>
      </c>
      <c r="G406" s="22" t="str">
        <f>IF(nutrition!$B406&gt;300,"Tinggi Kalori",IF(nutrition!$B406&gt;100,"Kalori Sedang","Rendah Kalori"))</f>
        <v>Rendah Kalori</v>
      </c>
      <c r="H406" s="23" t="s">
        <v>410</v>
      </c>
    </row>
    <row r="407" spans="1:8" x14ac:dyDescent="0.3">
      <c r="A407" s="25">
        <v>406</v>
      </c>
      <c r="B407" s="26">
        <v>134</v>
      </c>
      <c r="C407" s="26">
        <v>197</v>
      </c>
      <c r="D407" s="26">
        <v>48</v>
      </c>
      <c r="E407" s="26">
        <v>17</v>
      </c>
      <c r="F407" s="28" t="str">
        <f>PROPER(nutrition!$H407)</f>
        <v>Hati Babi</v>
      </c>
      <c r="G407" s="26" t="str">
        <f>IF(nutrition!$B407&gt;300,"Tinggi Kalori",IF(nutrition!$B407&gt;100,"Kalori Sedang","Rendah Kalori"))</f>
        <v>Kalori Sedang</v>
      </c>
      <c r="H407" s="27" t="s">
        <v>411</v>
      </c>
    </row>
    <row r="408" spans="1:8" x14ac:dyDescent="0.3">
      <c r="A408" s="21">
        <v>407</v>
      </c>
      <c r="B408" s="22">
        <v>136</v>
      </c>
      <c r="C408" s="22">
        <v>197</v>
      </c>
      <c r="D408" s="22">
        <v>32</v>
      </c>
      <c r="E408" s="22">
        <v>6</v>
      </c>
      <c r="F408" s="24" t="str">
        <f>PROPER(nutrition!$H408)</f>
        <v>Hati Sapi</v>
      </c>
      <c r="G408" s="22" t="str">
        <f>IF(nutrition!$B408&gt;300,"Tinggi Kalori",IF(nutrition!$B408&gt;100,"Kalori Sedang","Rendah Kalori"))</f>
        <v>Kalori Sedang</v>
      </c>
      <c r="H408" s="23" t="s">
        <v>412</v>
      </c>
    </row>
    <row r="409" spans="1:8" x14ac:dyDescent="0.3">
      <c r="A409" s="25">
        <v>408</v>
      </c>
      <c r="B409" s="26">
        <v>390</v>
      </c>
      <c r="C409" s="26">
        <v>142</v>
      </c>
      <c r="D409" s="26">
        <v>74</v>
      </c>
      <c r="E409" s="26">
        <v>682</v>
      </c>
      <c r="F409" s="28" t="str">
        <f>PROPER(nutrition!$H409)</f>
        <v>Havermout</v>
      </c>
      <c r="G409" s="26" t="str">
        <f>IF(nutrition!$B409&gt;300,"Tinggi Kalori",IF(nutrition!$B409&gt;100,"Kalori Sedang","Rendah Kalori"))</f>
        <v>Tinggi Kalori</v>
      </c>
      <c r="H409" s="27" t="s">
        <v>413</v>
      </c>
    </row>
    <row r="410" spans="1:8" x14ac:dyDescent="0.3">
      <c r="A410" s="21">
        <v>409</v>
      </c>
      <c r="B410" s="22">
        <v>127</v>
      </c>
      <c r="C410" s="22">
        <v>12</v>
      </c>
      <c r="D410" s="22">
        <v>5</v>
      </c>
      <c r="E410" s="22">
        <v>295</v>
      </c>
      <c r="F410" s="24" t="str">
        <f>PROPER(nutrition!$H410)</f>
        <v>Hofa/Ubi Hutan Segar</v>
      </c>
      <c r="G410" s="22" t="str">
        <f>IF(nutrition!$B410&gt;300,"Tinggi Kalori",IF(nutrition!$B410&gt;100,"Kalori Sedang","Rendah Kalori"))</f>
        <v>Kalori Sedang</v>
      </c>
      <c r="H410" s="23" t="s">
        <v>414</v>
      </c>
    </row>
    <row r="411" spans="1:8" x14ac:dyDescent="0.3">
      <c r="A411" s="25">
        <v>410</v>
      </c>
      <c r="B411" s="26">
        <v>146</v>
      </c>
      <c r="C411" s="26">
        <v>177</v>
      </c>
      <c r="D411" s="26">
        <v>59</v>
      </c>
      <c r="E411" s="26">
        <v>56</v>
      </c>
      <c r="F411" s="28" t="str">
        <f>PROPER(nutrition!$H411)</f>
        <v>Ikan Asar Merah Masakan</v>
      </c>
      <c r="G411" s="26" t="str">
        <f>IF(nutrition!$B411&gt;300,"Tinggi Kalori",IF(nutrition!$B411&gt;100,"Kalori Sedang","Rendah Kalori"))</f>
        <v>Kalori Sedang</v>
      </c>
      <c r="H411" s="27" t="s">
        <v>415</v>
      </c>
    </row>
    <row r="412" spans="1:8" x14ac:dyDescent="0.3">
      <c r="A412" s="21">
        <v>411</v>
      </c>
      <c r="B412" s="22">
        <v>380</v>
      </c>
      <c r="C412" s="22">
        <v>336</v>
      </c>
      <c r="D412" s="22">
        <v>275</v>
      </c>
      <c r="E412" s="22">
        <v>0</v>
      </c>
      <c r="F412" s="24" t="str">
        <f>PROPER(nutrition!$H412)</f>
        <v>Ikan Asin Bilis Goreng</v>
      </c>
      <c r="G412" s="22" t="str">
        <f>IF(nutrition!$B412&gt;300,"Tinggi Kalori",IF(nutrition!$B412&gt;100,"Kalori Sedang","Rendah Kalori"))</f>
        <v>Tinggi Kalori</v>
      </c>
      <c r="H412" s="23" t="s">
        <v>416</v>
      </c>
    </row>
    <row r="413" spans="1:8" x14ac:dyDescent="0.3">
      <c r="A413" s="25">
        <v>412</v>
      </c>
      <c r="B413" s="26">
        <v>456</v>
      </c>
      <c r="C413" s="26">
        <v>465</v>
      </c>
      <c r="D413" s="26">
        <v>244</v>
      </c>
      <c r="E413" s="26">
        <v>0</v>
      </c>
      <c r="F413" s="28" t="str">
        <f>PROPER(nutrition!$H413)</f>
        <v>Ikan Asin Gabus Goreng</v>
      </c>
      <c r="G413" s="26" t="str">
        <f>IF(nutrition!$B413&gt;300,"Tinggi Kalori",IF(nutrition!$B413&gt;100,"Kalori Sedang","Rendah Kalori"))</f>
        <v>Tinggi Kalori</v>
      </c>
      <c r="H413" s="27" t="s">
        <v>417</v>
      </c>
    </row>
    <row r="414" spans="1:8" x14ac:dyDescent="0.3">
      <c r="A414" s="21">
        <v>413</v>
      </c>
      <c r="B414" s="22">
        <v>348</v>
      </c>
      <c r="C414" s="22">
        <v>187</v>
      </c>
      <c r="D414" s="22">
        <v>295</v>
      </c>
      <c r="E414" s="22">
        <v>0</v>
      </c>
      <c r="F414" s="24" t="str">
        <f>PROPER(nutrition!$H414)</f>
        <v>Ikan Asin Japuh Goreng</v>
      </c>
      <c r="G414" s="22" t="str">
        <f>IF(nutrition!$B414&gt;300,"Tinggi Kalori",IF(nutrition!$B414&gt;100,"Kalori Sedang","Rendah Kalori"))</f>
        <v>Tinggi Kalori</v>
      </c>
      <c r="H414" s="23" t="s">
        <v>418</v>
      </c>
    </row>
    <row r="415" spans="1:8" x14ac:dyDescent="0.3">
      <c r="A415" s="25">
        <v>414</v>
      </c>
      <c r="B415" s="26">
        <v>193</v>
      </c>
      <c r="C415" s="26">
        <v>42</v>
      </c>
      <c r="D415" s="26">
        <v>15</v>
      </c>
      <c r="E415" s="26">
        <v>0</v>
      </c>
      <c r="F415" s="28" t="str">
        <f>PROPER(nutrition!$H415)</f>
        <v>Ikan Asin Kering</v>
      </c>
      <c r="G415" s="26" t="str">
        <f>IF(nutrition!$B415&gt;300,"Tinggi Kalori",IF(nutrition!$B415&gt;100,"Kalori Sedang","Rendah Kalori"))</f>
        <v>Kalori Sedang</v>
      </c>
      <c r="H415" s="27" t="s">
        <v>419</v>
      </c>
    </row>
    <row r="416" spans="1:8" x14ac:dyDescent="0.3">
      <c r="A416" s="21">
        <v>415</v>
      </c>
      <c r="B416" s="22">
        <v>430</v>
      </c>
      <c r="C416" s="22">
        <v>582</v>
      </c>
      <c r="D416" s="22">
        <v>236</v>
      </c>
      <c r="E416" s="22">
        <v>0</v>
      </c>
      <c r="F416" s="24" t="str">
        <f>PROPER(nutrition!$H416)</f>
        <v>Ikan Asin Pari Goreng</v>
      </c>
      <c r="G416" s="22" t="str">
        <f>IF(nutrition!$B416&gt;300,"Tinggi Kalori",IF(nutrition!$B416&gt;100,"Kalori Sedang","Rendah Kalori"))</f>
        <v>Tinggi Kalori</v>
      </c>
      <c r="H416" s="23" t="s">
        <v>420</v>
      </c>
    </row>
    <row r="417" spans="1:8" x14ac:dyDescent="0.3">
      <c r="A417" s="25">
        <v>416</v>
      </c>
      <c r="B417" s="26">
        <v>652</v>
      </c>
      <c r="C417" s="26">
        <v>404</v>
      </c>
      <c r="D417" s="26">
        <v>543</v>
      </c>
      <c r="E417" s="26">
        <v>0</v>
      </c>
      <c r="F417" s="28" t="str">
        <f>PROPER(nutrition!$H417)</f>
        <v>Ikan Asin Pepetek Goreng</v>
      </c>
      <c r="G417" s="26" t="str">
        <f>IF(nutrition!$B417&gt;300,"Tinggi Kalori",IF(nutrition!$B417&gt;100,"Kalori Sedang","Rendah Kalori"))</f>
        <v>Tinggi Kalori</v>
      </c>
      <c r="H417" s="27" t="s">
        <v>421</v>
      </c>
    </row>
    <row r="418" spans="1:8" x14ac:dyDescent="0.3">
      <c r="A418" s="21">
        <v>417</v>
      </c>
      <c r="B418" s="22">
        <v>319</v>
      </c>
      <c r="C418" s="22">
        <v>69</v>
      </c>
      <c r="D418" s="22">
        <v>317</v>
      </c>
      <c r="E418" s="22">
        <v>0</v>
      </c>
      <c r="F418" s="24" t="str">
        <f>PROPER(nutrition!$H418)</f>
        <v>Ikan Asin Sirinding Goreng</v>
      </c>
      <c r="G418" s="22" t="str">
        <f>IF(nutrition!$B418&gt;300,"Tinggi Kalori",IF(nutrition!$B418&gt;100,"Kalori Sedang","Rendah Kalori"))</f>
        <v>Tinggi Kalori</v>
      </c>
      <c r="H418" s="23" t="s">
        <v>422</v>
      </c>
    </row>
    <row r="419" spans="1:8" x14ac:dyDescent="0.3">
      <c r="A419" s="25">
        <v>418</v>
      </c>
      <c r="B419" s="26">
        <v>430</v>
      </c>
      <c r="C419" s="26">
        <v>334</v>
      </c>
      <c r="D419" s="26">
        <v>324</v>
      </c>
      <c r="E419" s="26">
        <v>0</v>
      </c>
      <c r="F419" s="28" t="str">
        <f>PROPER(nutrition!$H419)</f>
        <v>Ikan Asin Teri Goreng</v>
      </c>
      <c r="G419" s="26" t="str">
        <f>IF(nutrition!$B419&gt;300,"Tinggi Kalori",IF(nutrition!$B419&gt;100,"Kalori Sedang","Rendah Kalori"))</f>
        <v>Tinggi Kalori</v>
      </c>
      <c r="H419" s="27" t="s">
        <v>423</v>
      </c>
    </row>
    <row r="420" spans="1:8" x14ac:dyDescent="0.3">
      <c r="A420" s="21">
        <v>419</v>
      </c>
      <c r="B420" s="22">
        <v>198</v>
      </c>
      <c r="C420" s="22">
        <v>19</v>
      </c>
      <c r="D420" s="22">
        <v>13</v>
      </c>
      <c r="E420" s="22">
        <v>0</v>
      </c>
      <c r="F420" s="24" t="str">
        <f>PROPER(nutrition!$H420)</f>
        <v>Ikan Bader (Tawes)</v>
      </c>
      <c r="G420" s="22" t="str">
        <f>IF(nutrition!$B420&gt;300,"Tinggi Kalori",IF(nutrition!$B420&gt;100,"Kalori Sedang","Rendah Kalori"))</f>
        <v>Kalori Sedang</v>
      </c>
      <c r="H420" s="23" t="s">
        <v>424</v>
      </c>
    </row>
    <row r="421" spans="1:8" x14ac:dyDescent="0.3">
      <c r="A421" s="25">
        <v>420</v>
      </c>
      <c r="B421" s="26">
        <v>107</v>
      </c>
      <c r="C421" s="26">
        <v>165</v>
      </c>
      <c r="D421" s="26">
        <v>39</v>
      </c>
      <c r="E421" s="26">
        <v>15</v>
      </c>
      <c r="F421" s="28" t="str">
        <f>PROPER(nutrition!$H421)</f>
        <v>Ikan Balong Segar</v>
      </c>
      <c r="G421" s="26" t="str">
        <f>IF(nutrition!$B421&gt;300,"Tinggi Kalori",IF(nutrition!$B421&gt;100,"Kalori Sedang","Rendah Kalori"))</f>
        <v>Kalori Sedang</v>
      </c>
      <c r="H421" s="27" t="s">
        <v>425</v>
      </c>
    </row>
    <row r="422" spans="1:8" x14ac:dyDescent="0.3">
      <c r="A422" s="21">
        <v>421</v>
      </c>
      <c r="B422" s="22">
        <v>112</v>
      </c>
      <c r="C422" s="22">
        <v>20</v>
      </c>
      <c r="D422" s="22">
        <v>13</v>
      </c>
      <c r="E422" s="22">
        <v>37</v>
      </c>
      <c r="F422" s="24" t="str">
        <f>PROPER(nutrition!$H422)</f>
        <v>Ikan Bambangan Segar</v>
      </c>
      <c r="G422" s="22" t="str">
        <f>IF(nutrition!$B422&gt;300,"Tinggi Kalori",IF(nutrition!$B422&gt;100,"Kalori Sedang","Rendah Kalori"))</f>
        <v>Kalori Sedang</v>
      </c>
      <c r="H422" s="23" t="s">
        <v>426</v>
      </c>
    </row>
    <row r="423" spans="1:8" x14ac:dyDescent="0.3">
      <c r="A423" s="25">
        <v>422</v>
      </c>
      <c r="B423" s="26">
        <v>129</v>
      </c>
      <c r="C423" s="26">
        <v>20</v>
      </c>
      <c r="D423" s="26">
        <v>48</v>
      </c>
      <c r="E423" s="26">
        <v>0</v>
      </c>
      <c r="F423" s="28" t="str">
        <f>PROPER(nutrition!$H423)</f>
        <v>Ikan Bandeng</v>
      </c>
      <c r="G423" s="26" t="str">
        <f>IF(nutrition!$B423&gt;300,"Tinggi Kalori",IF(nutrition!$B423&gt;100,"Kalori Sedang","Rendah Kalori"))</f>
        <v>Kalori Sedang</v>
      </c>
      <c r="H423" s="27" t="s">
        <v>427</v>
      </c>
    </row>
    <row r="424" spans="1:8" x14ac:dyDescent="0.3">
      <c r="A424" s="21">
        <v>423</v>
      </c>
      <c r="B424" s="22">
        <v>296</v>
      </c>
      <c r="C424" s="22">
        <v>171</v>
      </c>
      <c r="D424" s="22">
        <v>203</v>
      </c>
      <c r="E424" s="22">
        <v>113</v>
      </c>
      <c r="F424" s="24" t="str">
        <f>PROPER(nutrition!$H424)</f>
        <v>Ikan Bandeng Presto Masakan</v>
      </c>
      <c r="G424" s="22" t="str">
        <f>IF(nutrition!$B424&gt;300,"Tinggi Kalori",IF(nutrition!$B424&gt;100,"Kalori Sedang","Rendah Kalori"))</f>
        <v>Kalori Sedang</v>
      </c>
      <c r="H424" s="23" t="s">
        <v>428</v>
      </c>
    </row>
    <row r="425" spans="1:8" x14ac:dyDescent="0.3">
      <c r="A425" s="25">
        <v>424</v>
      </c>
      <c r="B425" s="26">
        <v>111</v>
      </c>
      <c r="C425" s="26">
        <v>194</v>
      </c>
      <c r="D425" s="26">
        <v>9</v>
      </c>
      <c r="E425" s="26">
        <v>48</v>
      </c>
      <c r="F425" s="28" t="str">
        <f>PROPER(nutrition!$H425)</f>
        <v>Ikan Banjar Segar</v>
      </c>
      <c r="G425" s="26" t="str">
        <f>IF(nutrition!$B425&gt;300,"Tinggi Kalori",IF(nutrition!$B425&gt;100,"Kalori Sedang","Rendah Kalori"))</f>
        <v>Kalori Sedang</v>
      </c>
      <c r="H425" s="27" t="s">
        <v>429</v>
      </c>
    </row>
    <row r="426" spans="1:8" x14ac:dyDescent="0.3">
      <c r="A426" s="21">
        <v>425</v>
      </c>
      <c r="B426" s="22">
        <v>78</v>
      </c>
      <c r="C426" s="22">
        <v>145</v>
      </c>
      <c r="D426" s="22">
        <v>6</v>
      </c>
      <c r="E426" s="22">
        <v>37</v>
      </c>
      <c r="F426" s="24" t="str">
        <f>PROPER(nutrition!$H426)</f>
        <v>Ikan Baronang Segar</v>
      </c>
      <c r="G426" s="22" t="str">
        <f>IF(nutrition!$B426&gt;300,"Tinggi Kalori",IF(nutrition!$B426&gt;100,"Kalori Sedang","Rendah Kalori"))</f>
        <v>Rendah Kalori</v>
      </c>
      <c r="H426" s="23" t="s">
        <v>430</v>
      </c>
    </row>
    <row r="427" spans="1:8" x14ac:dyDescent="0.3">
      <c r="A427" s="25">
        <v>426</v>
      </c>
      <c r="B427" s="26">
        <v>144</v>
      </c>
      <c r="C427" s="26">
        <v>178</v>
      </c>
      <c r="D427" s="26">
        <v>58</v>
      </c>
      <c r="E427" s="26">
        <v>52</v>
      </c>
      <c r="F427" s="28" t="str">
        <f>PROPER(nutrition!$H427)</f>
        <v>Ikan Baung Bakar</v>
      </c>
      <c r="G427" s="26" t="str">
        <f>IF(nutrition!$B427&gt;300,"Tinggi Kalori",IF(nutrition!$B427&gt;100,"Kalori Sedang","Rendah Kalori"))</f>
        <v>Kalori Sedang</v>
      </c>
      <c r="H427" s="27" t="s">
        <v>431</v>
      </c>
    </row>
    <row r="428" spans="1:8" x14ac:dyDescent="0.3">
      <c r="A428" s="21">
        <v>427</v>
      </c>
      <c r="B428" s="22">
        <v>123</v>
      </c>
      <c r="C428" s="22">
        <v>151</v>
      </c>
      <c r="D428" s="22">
        <v>55</v>
      </c>
      <c r="E428" s="22">
        <v>33</v>
      </c>
      <c r="F428" s="24" t="str">
        <f>PROPER(nutrition!$H428)</f>
        <v>Ikan Baung Segar</v>
      </c>
      <c r="G428" s="22" t="str">
        <f>IF(nutrition!$B428&gt;300,"Tinggi Kalori",IF(nutrition!$B428&gt;100,"Kalori Sedang","Rendah Kalori"))</f>
        <v>Kalori Sedang</v>
      </c>
      <c r="H428" s="23" t="s">
        <v>432</v>
      </c>
    </row>
    <row r="429" spans="1:8" x14ac:dyDescent="0.3">
      <c r="A429" s="25">
        <v>428</v>
      </c>
      <c r="B429" s="26">
        <v>96</v>
      </c>
      <c r="C429" s="26">
        <v>19</v>
      </c>
      <c r="D429" s="26">
        <v>17</v>
      </c>
      <c r="E429" s="26">
        <v>0</v>
      </c>
      <c r="F429" s="28" t="str">
        <f>PROPER(nutrition!$H429)</f>
        <v>Ikan Bawal</v>
      </c>
      <c r="G429" s="26" t="str">
        <f>IF(nutrition!$B429&gt;300,"Tinggi Kalori",IF(nutrition!$B429&gt;100,"Kalori Sedang","Rendah Kalori"))</f>
        <v>Rendah Kalori</v>
      </c>
      <c r="H429" s="27" t="s">
        <v>433</v>
      </c>
    </row>
    <row r="430" spans="1:8" x14ac:dyDescent="0.3">
      <c r="A430" s="21">
        <v>429</v>
      </c>
      <c r="B430" s="22">
        <v>138</v>
      </c>
      <c r="C430" s="22">
        <v>14</v>
      </c>
      <c r="D430" s="22">
        <v>7</v>
      </c>
      <c r="E430" s="22">
        <v>74</v>
      </c>
      <c r="F430" s="24" t="str">
        <f>PROPER(nutrition!$H430)</f>
        <v>Ikan Bekasang</v>
      </c>
      <c r="G430" s="22" t="str">
        <f>IF(nutrition!$B430&gt;300,"Tinggi Kalori",IF(nutrition!$B430&gt;100,"Kalori Sedang","Rendah Kalori"))</f>
        <v>Kalori Sedang</v>
      </c>
      <c r="H430" s="23" t="s">
        <v>434</v>
      </c>
    </row>
    <row r="431" spans="1:8" x14ac:dyDescent="0.3">
      <c r="A431" s="25">
        <v>430</v>
      </c>
      <c r="B431" s="26">
        <v>128</v>
      </c>
      <c r="C431" s="26">
        <v>18</v>
      </c>
      <c r="D431" s="26">
        <v>3</v>
      </c>
      <c r="E431" s="26">
        <v>72</v>
      </c>
      <c r="F431" s="28" t="str">
        <f>PROPER(nutrition!$H431)</f>
        <v>Ikan Belida Bakar</v>
      </c>
      <c r="G431" s="26" t="str">
        <f>IF(nutrition!$B431&gt;300,"Tinggi Kalori",IF(nutrition!$B431&gt;100,"Kalori Sedang","Rendah Kalori"))</f>
        <v>Kalori Sedang</v>
      </c>
      <c r="H431" s="27" t="s">
        <v>435</v>
      </c>
    </row>
    <row r="432" spans="1:8" x14ac:dyDescent="0.3">
      <c r="A432" s="21">
        <v>431</v>
      </c>
      <c r="B432" s="22">
        <v>80</v>
      </c>
      <c r="C432" s="22">
        <v>147</v>
      </c>
      <c r="D432" s="22">
        <v>14</v>
      </c>
      <c r="E432" s="22">
        <v>22</v>
      </c>
      <c r="F432" s="24" t="str">
        <f>PROPER(nutrition!$H432)</f>
        <v>Ikan Belida Segar</v>
      </c>
      <c r="G432" s="22" t="str">
        <f>IF(nutrition!$B432&gt;300,"Tinggi Kalori",IF(nutrition!$B432&gt;100,"Kalori Sedang","Rendah Kalori"))</f>
        <v>Rendah Kalori</v>
      </c>
      <c r="H432" s="23" t="s">
        <v>436</v>
      </c>
    </row>
    <row r="433" spans="1:8" x14ac:dyDescent="0.3">
      <c r="A433" s="25">
        <v>432</v>
      </c>
      <c r="B433" s="26">
        <v>417</v>
      </c>
      <c r="C433" s="26">
        <v>259</v>
      </c>
      <c r="D433" s="26">
        <v>194</v>
      </c>
      <c r="E433" s="26">
        <v>32</v>
      </c>
      <c r="F433" s="28" t="str">
        <f>PROPER(nutrition!$H433)</f>
        <v>Ikan Belut Segar Goreng</v>
      </c>
      <c r="G433" s="26" t="str">
        <f>IF(nutrition!$B433&gt;300,"Tinggi Kalori",IF(nutrition!$B433&gt;100,"Kalori Sedang","Rendah Kalori"))</f>
        <v>Tinggi Kalori</v>
      </c>
      <c r="H433" s="27" t="s">
        <v>437</v>
      </c>
    </row>
    <row r="434" spans="1:8" x14ac:dyDescent="0.3">
      <c r="A434" s="21">
        <v>433</v>
      </c>
      <c r="B434" s="22">
        <v>82</v>
      </c>
      <c r="C434" s="22">
        <v>67</v>
      </c>
      <c r="D434" s="22">
        <v>1</v>
      </c>
      <c r="E434" s="22">
        <v>109</v>
      </c>
      <c r="F434" s="24" t="str">
        <f>PROPER(nutrition!$H434)</f>
        <v>Ikan Belut Segar Mentah</v>
      </c>
      <c r="G434" s="22" t="str">
        <f>IF(nutrition!$B434&gt;300,"Tinggi Kalori",IF(nutrition!$B434&gt;100,"Kalori Sedang","Rendah Kalori"))</f>
        <v>Rendah Kalori</v>
      </c>
      <c r="H434" s="23" t="s">
        <v>438</v>
      </c>
    </row>
    <row r="435" spans="1:8" x14ac:dyDescent="0.3">
      <c r="A435" s="25">
        <v>434</v>
      </c>
      <c r="B435" s="26">
        <v>66</v>
      </c>
      <c r="C435" s="26">
        <v>14</v>
      </c>
      <c r="D435" s="26">
        <v>0</v>
      </c>
      <c r="E435" s="26">
        <v>0</v>
      </c>
      <c r="F435" s="28" t="str">
        <f>PROPER(nutrition!$H435)</f>
        <v>Ikan Beunteur</v>
      </c>
      <c r="G435" s="26" t="str">
        <f>IF(nutrition!$B435&gt;300,"Tinggi Kalori",IF(nutrition!$B435&gt;100,"Kalori Sedang","Rendah Kalori"))</f>
        <v>Rendah Kalori</v>
      </c>
      <c r="H435" s="27" t="s">
        <v>439</v>
      </c>
    </row>
    <row r="436" spans="1:8" x14ac:dyDescent="0.3">
      <c r="A436" s="21">
        <v>435</v>
      </c>
      <c r="B436" s="22">
        <v>90</v>
      </c>
      <c r="C436" s="22">
        <v>149</v>
      </c>
      <c r="D436" s="22">
        <v>25</v>
      </c>
      <c r="E436" s="22">
        <v>21</v>
      </c>
      <c r="F436" s="24" t="str">
        <f>PROPER(nutrition!$H436)</f>
        <v>Ikan Biawan Segar</v>
      </c>
      <c r="G436" s="22" t="str">
        <f>IF(nutrition!$B436&gt;300,"Tinggi Kalori",IF(nutrition!$B436&gt;100,"Kalori Sedang","Rendah Kalori"))</f>
        <v>Rendah Kalori</v>
      </c>
      <c r="H436" s="23" t="s">
        <v>440</v>
      </c>
    </row>
    <row r="437" spans="1:8" x14ac:dyDescent="0.3">
      <c r="A437" s="25">
        <v>436</v>
      </c>
      <c r="B437" s="26">
        <v>88</v>
      </c>
      <c r="C437" s="26">
        <v>142</v>
      </c>
      <c r="D437" s="26">
        <v>7</v>
      </c>
      <c r="E437" s="26">
        <v>62</v>
      </c>
      <c r="F437" s="28" t="str">
        <f>PROPER(nutrition!$H437)</f>
        <v>Ikan Bili Segar</v>
      </c>
      <c r="G437" s="26" t="str">
        <f>IF(nutrition!$B437&gt;300,"Tinggi Kalori",IF(nutrition!$B437&gt;100,"Kalori Sedang","Rendah Kalori"))</f>
        <v>Rendah Kalori</v>
      </c>
      <c r="H437" s="27" t="s">
        <v>441</v>
      </c>
    </row>
    <row r="438" spans="1:8" x14ac:dyDescent="0.3">
      <c r="A438" s="21">
        <v>437</v>
      </c>
      <c r="B438" s="22">
        <v>100</v>
      </c>
      <c r="C438" s="22">
        <v>147</v>
      </c>
      <c r="D438" s="22">
        <v>24</v>
      </c>
      <c r="E438" s="22">
        <v>49</v>
      </c>
      <c r="F438" s="24" t="str">
        <f>PROPER(nutrition!$H438)</f>
        <v>Ikan Bubara Segar</v>
      </c>
      <c r="G438" s="22" t="str">
        <f>IF(nutrition!$B438&gt;300,"Tinggi Kalori",IF(nutrition!$B438&gt;100,"Kalori Sedang","Rendah Kalori"))</f>
        <v>Rendah Kalori</v>
      </c>
      <c r="H438" s="23" t="s">
        <v>442</v>
      </c>
    </row>
    <row r="439" spans="1:8" x14ac:dyDescent="0.3">
      <c r="A439" s="25">
        <v>438</v>
      </c>
      <c r="B439" s="26">
        <v>134</v>
      </c>
      <c r="C439" s="26">
        <v>255</v>
      </c>
      <c r="D439" s="26">
        <v>13</v>
      </c>
      <c r="E439" s="26">
        <v>5</v>
      </c>
      <c r="F439" s="28" t="str">
        <f>PROPER(nutrition!$H439)</f>
        <v>Ikan Bulan-Bulan Segar</v>
      </c>
      <c r="G439" s="26" t="str">
        <f>IF(nutrition!$B439&gt;300,"Tinggi Kalori",IF(nutrition!$B439&gt;100,"Kalori Sedang","Rendah Kalori"))</f>
        <v>Kalori Sedang</v>
      </c>
      <c r="H439" s="27" t="s">
        <v>443</v>
      </c>
    </row>
    <row r="440" spans="1:8" x14ac:dyDescent="0.3">
      <c r="A440" s="21">
        <v>439</v>
      </c>
      <c r="B440" s="22">
        <v>204</v>
      </c>
      <c r="C440" s="22">
        <v>342</v>
      </c>
      <c r="D440" s="22">
        <v>56</v>
      </c>
      <c r="E440" s="22">
        <v>19</v>
      </c>
      <c r="F440" s="24" t="str">
        <f>PROPER(nutrition!$H440)</f>
        <v>Ikan Cakalang Asap Mentah</v>
      </c>
      <c r="G440" s="22" t="str">
        <f>IF(nutrition!$B440&gt;300,"Tinggi Kalori",IF(nutrition!$B440&gt;100,"Kalori Sedang","Rendah Kalori"))</f>
        <v>Kalori Sedang</v>
      </c>
      <c r="H440" s="23" t="s">
        <v>444</v>
      </c>
    </row>
    <row r="441" spans="1:8" x14ac:dyDescent="0.3">
      <c r="A441" s="25">
        <v>440</v>
      </c>
      <c r="B441" s="26">
        <v>198</v>
      </c>
      <c r="C441" s="26">
        <v>365</v>
      </c>
      <c r="D441" s="26">
        <v>22</v>
      </c>
      <c r="E441" s="26">
        <v>55</v>
      </c>
      <c r="F441" s="28" t="str">
        <f>PROPER(nutrition!$H441)</f>
        <v>Ikan Cakalang Asin Mentah</v>
      </c>
      <c r="G441" s="26" t="str">
        <f>IF(nutrition!$B441&gt;300,"Tinggi Kalori",IF(nutrition!$B441&gt;100,"Kalori Sedang","Rendah Kalori"))</f>
        <v>Kalori Sedang</v>
      </c>
      <c r="H441" s="27" t="s">
        <v>445</v>
      </c>
    </row>
    <row r="442" spans="1:8" x14ac:dyDescent="0.3">
      <c r="A442" s="21">
        <v>441</v>
      </c>
      <c r="B442" s="22">
        <v>120</v>
      </c>
      <c r="C442" s="22">
        <v>113</v>
      </c>
      <c r="D442" s="22">
        <v>39</v>
      </c>
      <c r="E442" s="22">
        <v>10</v>
      </c>
      <c r="F442" s="24" t="str">
        <f>PROPER(nutrition!$H442)</f>
        <v>Ikan Cakalang Hati Segar</v>
      </c>
      <c r="G442" s="22" t="str">
        <f>IF(nutrition!$B442&gt;300,"Tinggi Kalori",IF(nutrition!$B442&gt;100,"Kalori Sedang","Rendah Kalori"))</f>
        <v>Kalori Sedang</v>
      </c>
      <c r="H442" s="23" t="s">
        <v>446</v>
      </c>
    </row>
    <row r="443" spans="1:8" x14ac:dyDescent="0.3">
      <c r="A443" s="25">
        <v>442</v>
      </c>
      <c r="B443" s="26">
        <v>116</v>
      </c>
      <c r="C443" s="26">
        <v>112</v>
      </c>
      <c r="D443" s="26">
        <v>12</v>
      </c>
      <c r="E443" s="26">
        <v>102</v>
      </c>
      <c r="F443" s="28" t="str">
        <f>PROPER(nutrition!$H443)</f>
        <v>Ikan Cakalang Jantung Segar</v>
      </c>
      <c r="G443" s="26" t="str">
        <f>IF(nutrition!$B443&gt;300,"Tinggi Kalori",IF(nutrition!$B443&gt;100,"Kalori Sedang","Rendah Kalori"))</f>
        <v>Kalori Sedang</v>
      </c>
      <c r="H443" s="27" t="s">
        <v>447</v>
      </c>
    </row>
    <row r="444" spans="1:8" x14ac:dyDescent="0.3">
      <c r="A444" s="21">
        <v>443</v>
      </c>
      <c r="B444" s="22">
        <v>86</v>
      </c>
      <c r="C444" s="22">
        <v>102</v>
      </c>
      <c r="D444" s="22">
        <v>11</v>
      </c>
      <c r="E444" s="22">
        <v>87</v>
      </c>
      <c r="F444" s="24" t="str">
        <f>PROPER(nutrition!$H444)</f>
        <v>Ikan Cakalang Perut Segar</v>
      </c>
      <c r="G444" s="22" t="str">
        <f>IF(nutrition!$B444&gt;300,"Tinggi Kalori",IF(nutrition!$B444&gt;100,"Kalori Sedang","Rendah Kalori"))</f>
        <v>Rendah Kalori</v>
      </c>
      <c r="H444" s="23" t="s">
        <v>448</v>
      </c>
    </row>
    <row r="445" spans="1:8" x14ac:dyDescent="0.3">
      <c r="A445" s="25">
        <v>444</v>
      </c>
      <c r="B445" s="26">
        <v>107</v>
      </c>
      <c r="C445" s="26">
        <v>196</v>
      </c>
      <c r="D445" s="26">
        <v>7</v>
      </c>
      <c r="E445" s="26">
        <v>55</v>
      </c>
      <c r="F445" s="28" t="str">
        <f>PROPER(nutrition!$H445)</f>
        <v>Ikan Cakalang Segar</v>
      </c>
      <c r="G445" s="26" t="str">
        <f>IF(nutrition!$B445&gt;300,"Tinggi Kalori",IF(nutrition!$B445&gt;100,"Kalori Sedang","Rendah Kalori"))</f>
        <v>Kalori Sedang</v>
      </c>
      <c r="H445" s="27" t="s">
        <v>449</v>
      </c>
    </row>
    <row r="446" spans="1:8" x14ac:dyDescent="0.3">
      <c r="A446" s="21">
        <v>445</v>
      </c>
      <c r="B446" s="22">
        <v>81</v>
      </c>
      <c r="C446" s="22">
        <v>114</v>
      </c>
      <c r="D446" s="22">
        <v>19</v>
      </c>
      <c r="E446" s="22">
        <v>38</v>
      </c>
      <c r="F446" s="24" t="str">
        <f>PROPER(nutrition!$H446)</f>
        <v>Ikan Calo/ Peda Mentah</v>
      </c>
      <c r="G446" s="22" t="str">
        <f>IF(nutrition!$B446&gt;300,"Tinggi Kalori",IF(nutrition!$B446&gt;100,"Kalori Sedang","Rendah Kalori"))</f>
        <v>Rendah Kalori</v>
      </c>
      <c r="H446" s="23" t="s">
        <v>450</v>
      </c>
    </row>
    <row r="447" spans="1:8" x14ac:dyDescent="0.3">
      <c r="A447" s="25">
        <v>446</v>
      </c>
      <c r="B447" s="26">
        <v>101</v>
      </c>
      <c r="C447" s="26">
        <v>115</v>
      </c>
      <c r="D447" s="26">
        <v>41</v>
      </c>
      <c r="E447" s="26">
        <v>46</v>
      </c>
      <c r="F447" s="28" t="str">
        <f>PROPER(nutrition!$H447)</f>
        <v>Ikan Daun Segar</v>
      </c>
      <c r="G447" s="26" t="str">
        <f>IF(nutrition!$B447&gt;300,"Tinggi Kalori",IF(nutrition!$B447&gt;100,"Kalori Sedang","Rendah Kalori"))</f>
        <v>Kalori Sedang</v>
      </c>
      <c r="H447" s="27" t="s">
        <v>451</v>
      </c>
    </row>
    <row r="448" spans="1:8" x14ac:dyDescent="0.3">
      <c r="A448" s="21">
        <v>447</v>
      </c>
      <c r="B448" s="22">
        <v>109</v>
      </c>
      <c r="C448" s="22">
        <v>17</v>
      </c>
      <c r="D448" s="22">
        <v>4</v>
      </c>
      <c r="E448" s="22">
        <v>0</v>
      </c>
      <c r="F448" s="24" t="str">
        <f>PROPER(nutrition!$H448)</f>
        <v>Ikan Ekor Kuning</v>
      </c>
      <c r="G448" s="22" t="str">
        <f>IF(nutrition!$B448&gt;300,"Tinggi Kalori",IF(nutrition!$B448&gt;100,"Kalori Sedang","Rendah Kalori"))</f>
        <v>Kalori Sedang</v>
      </c>
      <c r="H448" s="23" t="s">
        <v>452</v>
      </c>
    </row>
    <row r="449" spans="1:8" x14ac:dyDescent="0.3">
      <c r="A449" s="25">
        <v>448</v>
      </c>
      <c r="B449" s="26">
        <v>261</v>
      </c>
      <c r="C449" s="26">
        <v>381</v>
      </c>
      <c r="D449" s="26">
        <v>23</v>
      </c>
      <c r="E449" s="26">
        <v>219</v>
      </c>
      <c r="F449" s="28" t="str">
        <f>PROPER(nutrition!$H449)</f>
        <v>Ikan Gabus Asap Mentah</v>
      </c>
      <c r="G449" s="26" t="str">
        <f>IF(nutrition!$B449&gt;300,"Tinggi Kalori",IF(nutrition!$B449&gt;100,"Kalori Sedang","Rendah Kalori"))</f>
        <v>Kalori Sedang</v>
      </c>
      <c r="H449" s="27" t="s">
        <v>453</v>
      </c>
    </row>
    <row r="450" spans="1:8" x14ac:dyDescent="0.3">
      <c r="A450" s="21">
        <v>449</v>
      </c>
      <c r="B450" s="22">
        <v>292</v>
      </c>
      <c r="C450" s="22">
        <v>58</v>
      </c>
      <c r="D450" s="22">
        <v>4</v>
      </c>
      <c r="E450" s="22">
        <v>0</v>
      </c>
      <c r="F450" s="24" t="str">
        <f>PROPER(nutrition!$H450)</f>
        <v>Ikan Gabus Kering</v>
      </c>
      <c r="G450" s="22" t="str">
        <f>IF(nutrition!$B450&gt;300,"Tinggi Kalori",IF(nutrition!$B450&gt;100,"Kalori Sedang","Rendah Kalori"))</f>
        <v>Kalori Sedang</v>
      </c>
      <c r="H450" s="23" t="s">
        <v>454</v>
      </c>
    </row>
    <row r="451" spans="1:8" x14ac:dyDescent="0.3">
      <c r="A451" s="25">
        <v>450</v>
      </c>
      <c r="B451" s="26">
        <v>74</v>
      </c>
      <c r="C451" s="26">
        <v>252</v>
      </c>
      <c r="D451" s="26">
        <v>17</v>
      </c>
      <c r="E451" s="26">
        <v>0</v>
      </c>
      <c r="F451" s="28" t="str">
        <f>PROPER(nutrition!$H451)</f>
        <v>Ikan Gabus Segar</v>
      </c>
      <c r="G451" s="26" t="str">
        <f>IF(nutrition!$B451&gt;300,"Tinggi Kalori",IF(nutrition!$B451&gt;100,"Kalori Sedang","Rendah Kalori"))</f>
        <v>Rendah Kalori</v>
      </c>
      <c r="H451" s="27" t="s">
        <v>455</v>
      </c>
    </row>
    <row r="452" spans="1:8" x14ac:dyDescent="0.3">
      <c r="A452" s="21">
        <v>451</v>
      </c>
      <c r="B452" s="22">
        <v>267</v>
      </c>
      <c r="C452" s="22">
        <v>231</v>
      </c>
      <c r="D452" s="22">
        <v>194</v>
      </c>
      <c r="E452" s="22">
        <v>2</v>
      </c>
      <c r="F452" s="24" t="str">
        <f>PROPER(nutrition!$H452)</f>
        <v>Ikan Gete Goreng</v>
      </c>
      <c r="G452" s="22" t="str">
        <f>IF(nutrition!$B452&gt;300,"Tinggi Kalori",IF(nutrition!$B452&gt;100,"Kalori Sedang","Rendah Kalori"))</f>
        <v>Kalori Sedang</v>
      </c>
      <c r="H452" s="23" t="s">
        <v>456</v>
      </c>
    </row>
    <row r="453" spans="1:8" x14ac:dyDescent="0.3">
      <c r="A453" s="25">
        <v>452</v>
      </c>
      <c r="B453" s="26">
        <v>101</v>
      </c>
      <c r="C453" s="26">
        <v>103</v>
      </c>
      <c r="D453" s="26">
        <v>37</v>
      </c>
      <c r="E453" s="26">
        <v>67</v>
      </c>
      <c r="F453" s="28" t="str">
        <f>PROPER(nutrition!$H453)</f>
        <v>Ikan Hitam Segar</v>
      </c>
      <c r="G453" s="26" t="str">
        <f>IF(nutrition!$B453&gt;300,"Tinggi Kalori",IF(nutrition!$B453&gt;100,"Kalori Sedang","Rendah Kalori"))</f>
        <v>Kalori Sedang</v>
      </c>
      <c r="H453" s="27" t="s">
        <v>457</v>
      </c>
    </row>
    <row r="454" spans="1:8" x14ac:dyDescent="0.3">
      <c r="A454" s="21">
        <v>453</v>
      </c>
      <c r="B454" s="22">
        <v>298</v>
      </c>
      <c r="C454" s="22">
        <v>463</v>
      </c>
      <c r="D454" s="22">
        <v>36</v>
      </c>
      <c r="E454" s="22">
        <v>202</v>
      </c>
      <c r="F454" s="24" t="str">
        <f>PROPER(nutrition!$H454)</f>
        <v>Ikan Hiu Kering</v>
      </c>
      <c r="G454" s="22" t="str">
        <f>IF(nutrition!$B454&gt;300,"Tinggi Kalori",IF(nutrition!$B454&gt;100,"Kalori Sedang","Rendah Kalori"))</f>
        <v>Kalori Sedang</v>
      </c>
      <c r="H454" s="23" t="s">
        <v>458</v>
      </c>
    </row>
    <row r="455" spans="1:8" x14ac:dyDescent="0.3">
      <c r="A455" s="25">
        <v>454</v>
      </c>
      <c r="B455" s="26">
        <v>57</v>
      </c>
      <c r="C455" s="26">
        <v>107</v>
      </c>
      <c r="D455" s="26">
        <v>3</v>
      </c>
      <c r="E455" s="26">
        <v>22</v>
      </c>
      <c r="F455" s="28" t="str">
        <f>PROPER(nutrition!$H455)</f>
        <v>Ikan Hiu Segar</v>
      </c>
      <c r="G455" s="26" t="str">
        <f>IF(nutrition!$B455&gt;300,"Tinggi Kalori",IF(nutrition!$B455&gt;100,"Kalori Sedang","Rendah Kalori"))</f>
        <v>Rendah Kalori</v>
      </c>
      <c r="H455" s="27" t="s">
        <v>459</v>
      </c>
    </row>
    <row r="456" spans="1:8" x14ac:dyDescent="0.3">
      <c r="A456" s="21">
        <v>455</v>
      </c>
      <c r="B456" s="22">
        <v>77</v>
      </c>
      <c r="C456" s="22">
        <v>156</v>
      </c>
      <c r="D456" s="22">
        <v>9</v>
      </c>
      <c r="E456" s="22">
        <v>16</v>
      </c>
      <c r="F456" s="24" t="str">
        <f>PROPER(nutrition!$H456)</f>
        <v>Ikan Kacangan Segar</v>
      </c>
      <c r="G456" s="22" t="str">
        <f>IF(nutrition!$B456&gt;300,"Tinggi Kalori",IF(nutrition!$B456&gt;100,"Kalori Sedang","Rendah Kalori"))</f>
        <v>Rendah Kalori</v>
      </c>
      <c r="H456" s="23" t="s">
        <v>460</v>
      </c>
    </row>
    <row r="457" spans="1:8" x14ac:dyDescent="0.3">
      <c r="A457" s="25">
        <v>456</v>
      </c>
      <c r="B457" s="26">
        <v>92</v>
      </c>
      <c r="C457" s="26">
        <v>20</v>
      </c>
      <c r="D457" s="26">
        <v>7</v>
      </c>
      <c r="E457" s="26">
        <v>0</v>
      </c>
      <c r="F457" s="28" t="str">
        <f>PROPER(nutrition!$H457)</f>
        <v>Ikan Kakap Segar</v>
      </c>
      <c r="G457" s="26" t="str">
        <f>IF(nutrition!$B457&gt;300,"Tinggi Kalori",IF(nutrition!$B457&gt;100,"Kalori Sedang","Rendah Kalori"))</f>
        <v>Rendah Kalori</v>
      </c>
      <c r="H457" s="27" t="s">
        <v>461</v>
      </c>
    </row>
    <row r="458" spans="1:8" x14ac:dyDescent="0.3">
      <c r="A458" s="21">
        <v>457</v>
      </c>
      <c r="B458" s="22">
        <v>82</v>
      </c>
      <c r="C458" s="22">
        <v>114</v>
      </c>
      <c r="D458" s="22">
        <v>12</v>
      </c>
      <c r="E458" s="22">
        <v>64</v>
      </c>
      <c r="F458" s="24" t="str">
        <f>PROPER(nutrition!$H458)</f>
        <v>Ikan Kakatua Segar</v>
      </c>
      <c r="G458" s="22" t="str">
        <f>IF(nutrition!$B458&gt;300,"Tinggi Kalori",IF(nutrition!$B458&gt;100,"Kalori Sedang","Rendah Kalori"))</f>
        <v>Rendah Kalori</v>
      </c>
      <c r="H458" s="23" t="s">
        <v>462</v>
      </c>
    </row>
    <row r="459" spans="1:8" x14ac:dyDescent="0.3">
      <c r="A459" s="25">
        <v>458</v>
      </c>
      <c r="B459" s="26">
        <v>132</v>
      </c>
      <c r="C459" s="26">
        <v>17</v>
      </c>
      <c r="D459" s="26">
        <v>67</v>
      </c>
      <c r="E459" s="26">
        <v>8</v>
      </c>
      <c r="F459" s="28" t="str">
        <f>PROPER(nutrition!$H459)</f>
        <v>Ikan Kapar Segar</v>
      </c>
      <c r="G459" s="26" t="str">
        <f>IF(nutrition!$B459&gt;300,"Tinggi Kalori",IF(nutrition!$B459&gt;100,"Kalori Sedang","Rendah Kalori"))</f>
        <v>Kalori Sedang</v>
      </c>
      <c r="H459" s="27" t="s">
        <v>463</v>
      </c>
    </row>
    <row r="460" spans="1:8" x14ac:dyDescent="0.3">
      <c r="A460" s="21">
        <v>459</v>
      </c>
      <c r="B460" s="22">
        <v>162</v>
      </c>
      <c r="C460" s="22">
        <v>317</v>
      </c>
      <c r="D460" s="22">
        <v>28</v>
      </c>
      <c r="E460" s="22">
        <v>3</v>
      </c>
      <c r="F460" s="24" t="str">
        <f>PROPER(nutrition!$H460)</f>
        <v>Ikan Katombo Asin</v>
      </c>
      <c r="G460" s="22" t="str">
        <f>IF(nutrition!$B460&gt;300,"Tinggi Kalori",IF(nutrition!$B460&gt;100,"Kalori Sedang","Rendah Kalori"))</f>
        <v>Kalori Sedang</v>
      </c>
      <c r="H460" s="23" t="s">
        <v>464</v>
      </c>
    </row>
    <row r="461" spans="1:8" x14ac:dyDescent="0.3">
      <c r="A461" s="25">
        <v>460</v>
      </c>
      <c r="B461" s="26">
        <v>110</v>
      </c>
      <c r="C461" s="26">
        <v>126</v>
      </c>
      <c r="D461" s="26">
        <v>42</v>
      </c>
      <c r="E461" s="26">
        <v>54</v>
      </c>
      <c r="F461" s="28" t="str">
        <f>PROPER(nutrition!$H461)</f>
        <v>Ikan Kawalinya Segar</v>
      </c>
      <c r="G461" s="26" t="str">
        <f>IF(nutrition!$B461&gt;300,"Tinggi Kalori",IF(nutrition!$B461&gt;100,"Kalori Sedang","Rendah Kalori"))</f>
        <v>Kalori Sedang</v>
      </c>
      <c r="H461" s="27" t="s">
        <v>465</v>
      </c>
    </row>
    <row r="462" spans="1:8" x14ac:dyDescent="0.3">
      <c r="A462" s="21">
        <v>461</v>
      </c>
      <c r="B462" s="22">
        <v>302</v>
      </c>
      <c r="C462" s="22">
        <v>707</v>
      </c>
      <c r="D462" s="22">
        <v>19</v>
      </c>
      <c r="E462" s="22">
        <v>4</v>
      </c>
      <c r="F462" s="24" t="str">
        <f>PROPER(nutrition!$H462)</f>
        <v>Ikan Kayu Kering</v>
      </c>
      <c r="G462" s="22" t="str">
        <f>IF(nutrition!$B462&gt;300,"Tinggi Kalori",IF(nutrition!$B462&gt;100,"Kalori Sedang","Rendah Kalori"))</f>
        <v>Tinggi Kalori</v>
      </c>
      <c r="H462" s="23" t="s">
        <v>466</v>
      </c>
    </row>
    <row r="463" spans="1:8" x14ac:dyDescent="0.3">
      <c r="A463" s="25">
        <v>462</v>
      </c>
      <c r="B463" s="26">
        <v>103</v>
      </c>
      <c r="C463" s="26">
        <v>22</v>
      </c>
      <c r="D463" s="26">
        <v>1</v>
      </c>
      <c r="E463" s="26">
        <v>0</v>
      </c>
      <c r="F463" s="28" t="str">
        <f>PROPER(nutrition!$H463)</f>
        <v>Ikan Kembung</v>
      </c>
      <c r="G463" s="26" t="str">
        <f>IF(nutrition!$B463&gt;300,"Tinggi Kalori",IF(nutrition!$B463&gt;100,"Kalori Sedang","Rendah Kalori"))</f>
        <v>Kalori Sedang</v>
      </c>
      <c r="H463" s="27" t="s">
        <v>467</v>
      </c>
    </row>
    <row r="464" spans="1:8" x14ac:dyDescent="0.3">
      <c r="A464" s="21">
        <v>463</v>
      </c>
      <c r="B464" s="22">
        <v>70</v>
      </c>
      <c r="C464" s="22">
        <v>108</v>
      </c>
      <c r="D464" s="22">
        <v>7</v>
      </c>
      <c r="E464" s="22">
        <v>52</v>
      </c>
      <c r="F464" s="24" t="str">
        <f>PROPER(nutrition!$H464)</f>
        <v>Ikan Kima Segar</v>
      </c>
      <c r="G464" s="22" t="str">
        <f>IF(nutrition!$B464&gt;300,"Tinggi Kalori",IF(nutrition!$B464&gt;100,"Kalori Sedang","Rendah Kalori"))</f>
        <v>Rendah Kalori</v>
      </c>
      <c r="H464" s="23" t="s">
        <v>468</v>
      </c>
    </row>
    <row r="465" spans="1:8" x14ac:dyDescent="0.3">
      <c r="A465" s="25">
        <v>464</v>
      </c>
      <c r="B465" s="26">
        <v>147</v>
      </c>
      <c r="C465" s="26">
        <v>175</v>
      </c>
      <c r="D465" s="26">
        <v>65</v>
      </c>
      <c r="E465" s="26">
        <v>54</v>
      </c>
      <c r="F465" s="28" t="str">
        <f>PROPER(nutrition!$H465)</f>
        <v>Ikan Lais Bakar</v>
      </c>
      <c r="G465" s="26" t="str">
        <f>IF(nutrition!$B465&gt;300,"Tinggi Kalori",IF(nutrition!$B465&gt;100,"Kalori Sedang","Rendah Kalori"))</f>
        <v>Kalori Sedang</v>
      </c>
      <c r="H465" s="27" t="s">
        <v>469</v>
      </c>
    </row>
    <row r="466" spans="1:8" x14ac:dyDescent="0.3">
      <c r="A466" s="21">
        <v>465</v>
      </c>
      <c r="B466" s="22">
        <v>109</v>
      </c>
      <c r="C466" s="22">
        <v>22</v>
      </c>
      <c r="D466" s="22">
        <v>17</v>
      </c>
      <c r="E466" s="22">
        <v>0</v>
      </c>
      <c r="F466" s="24" t="str">
        <f>PROPER(nutrition!$H466)</f>
        <v>Ikan Layang</v>
      </c>
      <c r="G466" s="22" t="str">
        <f>IF(nutrition!$B466&gt;300,"Tinggi Kalori",IF(nutrition!$B466&gt;100,"Kalori Sedang","Rendah Kalori"))</f>
        <v>Kalori Sedang</v>
      </c>
      <c r="H466" s="23" t="s">
        <v>470</v>
      </c>
    </row>
    <row r="467" spans="1:8" x14ac:dyDescent="0.3">
      <c r="A467" s="25">
        <v>466</v>
      </c>
      <c r="B467" s="26">
        <v>82</v>
      </c>
      <c r="C467" s="26">
        <v>18</v>
      </c>
      <c r="D467" s="26">
        <v>1</v>
      </c>
      <c r="E467" s="26">
        <v>4</v>
      </c>
      <c r="F467" s="28" t="str">
        <f>PROPER(nutrition!$H467)</f>
        <v>Ikan Layur Segar</v>
      </c>
      <c r="G467" s="26" t="str">
        <f>IF(nutrition!$B467&gt;300,"Tinggi Kalori",IF(nutrition!$B467&gt;100,"Kalori Sedang","Rendah Kalori"))</f>
        <v>Rendah Kalori</v>
      </c>
      <c r="H467" s="27" t="s">
        <v>471</v>
      </c>
    </row>
    <row r="468" spans="1:8" x14ac:dyDescent="0.3">
      <c r="A468" s="21">
        <v>467</v>
      </c>
      <c r="B468" s="22">
        <v>90</v>
      </c>
      <c r="C468" s="22">
        <v>204</v>
      </c>
      <c r="D468" s="22">
        <v>9</v>
      </c>
      <c r="E468" s="22">
        <v>0</v>
      </c>
      <c r="F468" s="24" t="str">
        <f>PROPER(nutrition!$H468)</f>
        <v>Ikan Lehoma Segar</v>
      </c>
      <c r="G468" s="22" t="str">
        <f>IF(nutrition!$B468&gt;300,"Tinggi Kalori",IF(nutrition!$B468&gt;100,"Kalori Sedang","Rendah Kalori"))</f>
        <v>Rendah Kalori</v>
      </c>
      <c r="H468" s="23" t="s">
        <v>472</v>
      </c>
    </row>
    <row r="469" spans="1:8" x14ac:dyDescent="0.3">
      <c r="A469" s="25">
        <v>468</v>
      </c>
      <c r="B469" s="26">
        <v>252</v>
      </c>
      <c r="C469" s="26">
        <v>199</v>
      </c>
      <c r="D469" s="26">
        <v>191</v>
      </c>
      <c r="E469" s="26">
        <v>0</v>
      </c>
      <c r="F469" s="28" t="str">
        <f>PROPER(nutrition!$H469)</f>
        <v>Ikan Lele Goreng</v>
      </c>
      <c r="G469" s="26" t="str">
        <f>IF(nutrition!$B469&gt;300,"Tinggi Kalori",IF(nutrition!$B469&gt;100,"Kalori Sedang","Rendah Kalori"))</f>
        <v>Kalori Sedang</v>
      </c>
      <c r="H469" s="27" t="s">
        <v>473</v>
      </c>
    </row>
    <row r="470" spans="1:8" x14ac:dyDescent="0.3">
      <c r="A470" s="21">
        <v>469</v>
      </c>
      <c r="B470" s="22">
        <v>112</v>
      </c>
      <c r="C470" s="22">
        <v>20</v>
      </c>
      <c r="D470" s="22">
        <v>3</v>
      </c>
      <c r="E470" s="22">
        <v>0</v>
      </c>
      <c r="F470" s="24" t="str">
        <f>PROPER(nutrition!$H470)</f>
        <v>Ikan Lemuru</v>
      </c>
      <c r="G470" s="22" t="str">
        <f>IF(nutrition!$B470&gt;300,"Tinggi Kalori",IF(nutrition!$B470&gt;100,"Kalori Sedang","Rendah Kalori"))</f>
        <v>Kalori Sedang</v>
      </c>
      <c r="H470" s="23" t="s">
        <v>474</v>
      </c>
    </row>
    <row r="471" spans="1:8" x14ac:dyDescent="0.3">
      <c r="A471" s="25">
        <v>470</v>
      </c>
      <c r="B471" s="26">
        <v>104</v>
      </c>
      <c r="C471" s="26">
        <v>156</v>
      </c>
      <c r="D471" s="26">
        <v>32</v>
      </c>
      <c r="E471" s="26">
        <v>2</v>
      </c>
      <c r="F471" s="28" t="str">
        <f>PROPER(nutrition!$H471)</f>
        <v>Ikan Lidah Segar</v>
      </c>
      <c r="G471" s="26" t="str">
        <f>IF(nutrition!$B471&gt;300,"Tinggi Kalori",IF(nutrition!$B471&gt;100,"Kalori Sedang","Rendah Kalori"))</f>
        <v>Kalori Sedang</v>
      </c>
      <c r="H471" s="27" t="s">
        <v>475</v>
      </c>
    </row>
    <row r="472" spans="1:8" x14ac:dyDescent="0.3">
      <c r="A472" s="21">
        <v>471</v>
      </c>
      <c r="B472" s="22">
        <v>258</v>
      </c>
      <c r="C472" s="22">
        <v>403</v>
      </c>
      <c r="D472" s="22">
        <v>23</v>
      </c>
      <c r="E472" s="22">
        <v>189</v>
      </c>
      <c r="F472" s="24" t="str">
        <f>PROPER(nutrition!$H472)</f>
        <v>Ikan Lomak Asin Mentah</v>
      </c>
      <c r="G472" s="22" t="str">
        <f>IF(nutrition!$B472&gt;300,"Tinggi Kalori",IF(nutrition!$B472&gt;100,"Kalori Sedang","Rendah Kalori"))</f>
        <v>Kalori Sedang</v>
      </c>
      <c r="H472" s="23" t="s">
        <v>476</v>
      </c>
    </row>
    <row r="473" spans="1:8" x14ac:dyDescent="0.3">
      <c r="A473" s="25">
        <v>472</v>
      </c>
      <c r="B473" s="26">
        <v>99</v>
      </c>
      <c r="C473" s="26">
        <v>206</v>
      </c>
      <c r="D473" s="26">
        <v>14</v>
      </c>
      <c r="E473" s="26">
        <v>9</v>
      </c>
      <c r="F473" s="28" t="str">
        <f>PROPER(nutrition!$H473)</f>
        <v>Ikan Malalugis Segar</v>
      </c>
      <c r="G473" s="26" t="str">
        <f>IF(nutrition!$B473&gt;300,"Tinggi Kalori",IF(nutrition!$B473&gt;100,"Kalori Sedang","Rendah Kalori"))</f>
        <v>Rendah Kalori</v>
      </c>
      <c r="H473" s="27" t="s">
        <v>477</v>
      </c>
    </row>
    <row r="474" spans="1:8" x14ac:dyDescent="0.3">
      <c r="A474" s="21">
        <v>473</v>
      </c>
      <c r="B474" s="22">
        <v>86</v>
      </c>
      <c r="C474" s="22">
        <v>16</v>
      </c>
      <c r="D474" s="22">
        <v>2</v>
      </c>
      <c r="E474" s="22">
        <v>0</v>
      </c>
      <c r="F474" s="24" t="str">
        <f>PROPER(nutrition!$H474)</f>
        <v>Ikan Mas</v>
      </c>
      <c r="G474" s="22" t="str">
        <f>IF(nutrition!$B474&gt;300,"Tinggi Kalori",IF(nutrition!$B474&gt;100,"Kalori Sedang","Rendah Kalori"))</f>
        <v>Rendah Kalori</v>
      </c>
      <c r="H474" s="23" t="s">
        <v>478</v>
      </c>
    </row>
    <row r="475" spans="1:8" x14ac:dyDescent="0.3">
      <c r="A475" s="25">
        <v>474</v>
      </c>
      <c r="B475" s="26">
        <v>188</v>
      </c>
      <c r="C475" s="26">
        <v>193</v>
      </c>
      <c r="D475" s="26">
        <v>122</v>
      </c>
      <c r="E475" s="26">
        <v>0</v>
      </c>
      <c r="F475" s="28" t="str">
        <f>PROPER(nutrition!$H475)</f>
        <v>Ikan Mas Goreng</v>
      </c>
      <c r="G475" s="26" t="str">
        <f>IF(nutrition!$B475&gt;300,"Tinggi Kalori",IF(nutrition!$B475&gt;100,"Kalori Sedang","Rendah Kalori"))</f>
        <v>Kalori Sedang</v>
      </c>
      <c r="H475" s="27" t="s">
        <v>479</v>
      </c>
    </row>
    <row r="476" spans="1:8" x14ac:dyDescent="0.3">
      <c r="A476" s="21">
        <v>475</v>
      </c>
      <c r="B476" s="22">
        <v>209</v>
      </c>
      <c r="C476" s="22">
        <v>152</v>
      </c>
      <c r="D476" s="22">
        <v>113</v>
      </c>
      <c r="E476" s="22">
        <v>118</v>
      </c>
      <c r="F476" s="24" t="str">
        <f>PROPER(nutrition!$H476)</f>
        <v>Ikan Mas Pepes</v>
      </c>
      <c r="G476" s="22" t="str">
        <f>IF(nutrition!$B476&gt;300,"Tinggi Kalori",IF(nutrition!$B476&gt;100,"Kalori Sedang","Rendah Kalori"))</f>
        <v>Kalori Sedang</v>
      </c>
      <c r="H476" s="23" t="s">
        <v>480</v>
      </c>
    </row>
    <row r="477" spans="1:8" x14ac:dyDescent="0.3">
      <c r="A477" s="25">
        <v>476</v>
      </c>
      <c r="B477" s="26">
        <v>97</v>
      </c>
      <c r="C477" s="26">
        <v>179</v>
      </c>
      <c r="D477" s="26">
        <v>2</v>
      </c>
      <c r="E477" s="26">
        <v>4</v>
      </c>
      <c r="F477" s="28" t="str">
        <f>PROPER(nutrition!$H477)</f>
        <v>Ikan Mayong Segar</v>
      </c>
      <c r="G477" s="26" t="str">
        <f>IF(nutrition!$B477&gt;300,"Tinggi Kalori",IF(nutrition!$B477&gt;100,"Kalori Sedang","Rendah Kalori"))</f>
        <v>Rendah Kalori</v>
      </c>
      <c r="H477" s="27" t="s">
        <v>481</v>
      </c>
    </row>
    <row r="478" spans="1:8" x14ac:dyDescent="0.3">
      <c r="A478" s="21">
        <v>477</v>
      </c>
      <c r="B478" s="22">
        <v>598</v>
      </c>
      <c r="C478" s="22">
        <v>743</v>
      </c>
      <c r="D478" s="22">
        <v>269</v>
      </c>
      <c r="E478" s="22">
        <v>92</v>
      </c>
      <c r="F478" s="24" t="str">
        <f>PROPER(nutrition!$H478)</f>
        <v>Ikan Mujair Dendeng Goreng</v>
      </c>
      <c r="G478" s="22" t="str">
        <f>IF(nutrition!$B478&gt;300,"Tinggi Kalori",IF(nutrition!$B478&gt;100,"Kalori Sedang","Rendah Kalori"))</f>
        <v>Tinggi Kalori</v>
      </c>
      <c r="H478" s="23" t="s">
        <v>482</v>
      </c>
    </row>
    <row r="479" spans="1:8" x14ac:dyDescent="0.3">
      <c r="A479" s="25">
        <v>478</v>
      </c>
      <c r="B479" s="26">
        <v>582</v>
      </c>
      <c r="C479" s="26">
        <v>683</v>
      </c>
      <c r="D479" s="26">
        <v>152</v>
      </c>
      <c r="E479" s="26">
        <v>372</v>
      </c>
      <c r="F479" s="28" t="str">
        <f>PROPER(nutrition!$H479)</f>
        <v>Ikan Mujair Dendeng Mentah</v>
      </c>
      <c r="G479" s="26" t="str">
        <f>IF(nutrition!$B479&gt;300,"Tinggi Kalori",IF(nutrition!$B479&gt;100,"Kalori Sedang","Rendah Kalori"))</f>
        <v>Tinggi Kalori</v>
      </c>
      <c r="H479" s="27" t="s">
        <v>483</v>
      </c>
    </row>
    <row r="480" spans="1:8" x14ac:dyDescent="0.3">
      <c r="A480" s="21">
        <v>479</v>
      </c>
      <c r="B480" s="22">
        <v>416</v>
      </c>
      <c r="C480" s="22">
        <v>469</v>
      </c>
      <c r="D480" s="22">
        <v>239</v>
      </c>
      <c r="E480" s="22">
        <v>0</v>
      </c>
      <c r="F480" s="24" t="str">
        <f>PROPER(nutrition!$H480)</f>
        <v>Ikan Mujair Goreng</v>
      </c>
      <c r="G480" s="22" t="str">
        <f>IF(nutrition!$B480&gt;300,"Tinggi Kalori",IF(nutrition!$B480&gt;100,"Kalori Sedang","Rendah Kalori"))</f>
        <v>Tinggi Kalori</v>
      </c>
      <c r="H480" s="23" t="s">
        <v>484</v>
      </c>
    </row>
    <row r="481" spans="1:8" x14ac:dyDescent="0.3">
      <c r="A481" s="25">
        <v>480</v>
      </c>
      <c r="B481" s="26">
        <v>121</v>
      </c>
      <c r="C481" s="26">
        <v>217</v>
      </c>
      <c r="D481" s="26">
        <v>28</v>
      </c>
      <c r="E481" s="26">
        <v>8</v>
      </c>
      <c r="F481" s="28" t="str">
        <f>PROPER(nutrition!$H481)</f>
        <v>Ikan Mujair Pepes</v>
      </c>
      <c r="G481" s="26" t="str">
        <f>IF(nutrition!$B481&gt;300,"Tinggi Kalori",IF(nutrition!$B481&gt;100,"Kalori Sedang","Rendah Kalori"))</f>
        <v>Kalori Sedang</v>
      </c>
      <c r="H481" s="27" t="s">
        <v>485</v>
      </c>
    </row>
    <row r="482" spans="1:8" x14ac:dyDescent="0.3">
      <c r="A482" s="21">
        <v>481</v>
      </c>
      <c r="B482" s="22">
        <v>89</v>
      </c>
      <c r="C482" s="22">
        <v>187</v>
      </c>
      <c r="D482" s="22">
        <v>1</v>
      </c>
      <c r="E482" s="22">
        <v>0</v>
      </c>
      <c r="F482" s="24" t="str">
        <f>PROPER(nutrition!$H482)</f>
        <v>Ikan Mujair Segar</v>
      </c>
      <c r="G482" s="22" t="str">
        <f>IF(nutrition!$B482&gt;300,"Tinggi Kalori",IF(nutrition!$B482&gt;100,"Kalori Sedang","Rendah Kalori"))</f>
        <v>Rendah Kalori</v>
      </c>
      <c r="H482" s="23" t="s">
        <v>486</v>
      </c>
    </row>
    <row r="483" spans="1:8" x14ac:dyDescent="0.3">
      <c r="A483" s="25">
        <v>482</v>
      </c>
      <c r="B483" s="26">
        <v>154</v>
      </c>
      <c r="C483" s="26">
        <v>168</v>
      </c>
      <c r="D483" s="26">
        <v>5</v>
      </c>
      <c r="E483" s="26">
        <v>105</v>
      </c>
      <c r="F483" s="28" t="str">
        <f>PROPER(nutrition!$H483)</f>
        <v>Ikan Nasu Metti Segar</v>
      </c>
      <c r="G483" s="26" t="str">
        <f>IF(nutrition!$B483&gt;300,"Tinggi Kalori",IF(nutrition!$B483&gt;100,"Kalori Sedang","Rendah Kalori"))</f>
        <v>Kalori Sedang</v>
      </c>
      <c r="H483" s="27" t="s">
        <v>487</v>
      </c>
    </row>
    <row r="484" spans="1:8" x14ac:dyDescent="0.3">
      <c r="A484" s="21">
        <v>483</v>
      </c>
      <c r="B484" s="22">
        <v>125</v>
      </c>
      <c r="C484" s="22">
        <v>213</v>
      </c>
      <c r="D484" s="22">
        <v>34</v>
      </c>
      <c r="E484" s="22">
        <v>22</v>
      </c>
      <c r="F484" s="24" t="str">
        <f>PROPER(nutrition!$H484)</f>
        <v>Ikan Oci Kembung Segar</v>
      </c>
      <c r="G484" s="22" t="str">
        <f>IF(nutrition!$B484&gt;300,"Tinggi Kalori",IF(nutrition!$B484&gt;100,"Kalori Sedang","Rendah Kalori"))</f>
        <v>Kalori Sedang</v>
      </c>
      <c r="H484" s="23" t="s">
        <v>488</v>
      </c>
    </row>
    <row r="485" spans="1:8" x14ac:dyDescent="0.3">
      <c r="A485" s="25">
        <v>484</v>
      </c>
      <c r="B485" s="26">
        <v>152</v>
      </c>
      <c r="C485" s="26">
        <v>176</v>
      </c>
      <c r="D485" s="26">
        <v>61</v>
      </c>
      <c r="E485" s="26">
        <v>67</v>
      </c>
      <c r="F485" s="28" t="str">
        <f>PROPER(nutrition!$H485)</f>
        <v>Ikan Papuyu Bakar</v>
      </c>
      <c r="G485" s="26" t="str">
        <f>IF(nutrition!$B485&gt;300,"Tinggi Kalori",IF(nutrition!$B485&gt;100,"Kalori Sedang","Rendah Kalori"))</f>
        <v>Kalori Sedang</v>
      </c>
      <c r="H485" s="27" t="s">
        <v>489</v>
      </c>
    </row>
    <row r="486" spans="1:8" x14ac:dyDescent="0.3">
      <c r="A486" s="21">
        <v>485</v>
      </c>
      <c r="B486" s="22">
        <v>120</v>
      </c>
      <c r="C486" s="22">
        <v>143</v>
      </c>
      <c r="D486" s="22">
        <v>49</v>
      </c>
      <c r="E486" s="22">
        <v>46</v>
      </c>
      <c r="F486" s="24" t="str">
        <f>PROPER(nutrition!$H486)</f>
        <v>Ikan Papuyu/ Betok Segar</v>
      </c>
      <c r="G486" s="22" t="str">
        <f>IF(nutrition!$B486&gt;300,"Tinggi Kalori",IF(nutrition!$B486&gt;100,"Kalori Sedang","Rendah Kalori"))</f>
        <v>Kalori Sedang</v>
      </c>
      <c r="H486" s="23" t="s">
        <v>490</v>
      </c>
    </row>
    <row r="487" spans="1:8" x14ac:dyDescent="0.3">
      <c r="A487" s="25">
        <v>486</v>
      </c>
      <c r="B487" s="26">
        <v>144</v>
      </c>
      <c r="C487" s="26">
        <v>175</v>
      </c>
      <c r="D487" s="26">
        <v>63</v>
      </c>
      <c r="E487" s="26">
        <v>43</v>
      </c>
      <c r="F487" s="28" t="str">
        <f>PROPER(nutrition!$H487)</f>
        <v>Ikan Patin Bakar</v>
      </c>
      <c r="G487" s="26" t="str">
        <f>IF(nutrition!$B487&gt;300,"Tinggi Kalori",IF(nutrition!$B487&gt;100,"Kalori Sedang","Rendah Kalori"))</f>
        <v>Kalori Sedang</v>
      </c>
      <c r="H487" s="27" t="s">
        <v>491</v>
      </c>
    </row>
    <row r="488" spans="1:8" x14ac:dyDescent="0.3">
      <c r="A488" s="21">
        <v>487</v>
      </c>
      <c r="B488" s="22">
        <v>132</v>
      </c>
      <c r="C488" s="22">
        <v>17</v>
      </c>
      <c r="D488" s="22">
        <v>66</v>
      </c>
      <c r="E488" s="22">
        <v>11</v>
      </c>
      <c r="F488" s="24" t="str">
        <f>PROPER(nutrition!$H488)</f>
        <v>Ikan Patin Segar</v>
      </c>
      <c r="G488" s="22" t="str">
        <f>IF(nutrition!$B488&gt;300,"Tinggi Kalori",IF(nutrition!$B488&gt;100,"Kalori Sedang","Rendah Kalori"))</f>
        <v>Kalori Sedang</v>
      </c>
      <c r="H488" s="23" t="s">
        <v>492</v>
      </c>
    </row>
    <row r="489" spans="1:8" x14ac:dyDescent="0.3">
      <c r="A489" s="25">
        <v>488</v>
      </c>
      <c r="B489" s="26">
        <v>156</v>
      </c>
      <c r="C489" s="26">
        <v>28</v>
      </c>
      <c r="D489" s="26">
        <v>4</v>
      </c>
      <c r="E489" s="26">
        <v>2</v>
      </c>
      <c r="F489" s="28" t="str">
        <f>PROPER(nutrition!$H489)</f>
        <v>Ikan Peda Banjar Mentah</v>
      </c>
      <c r="G489" s="26" t="str">
        <f>IF(nutrition!$B489&gt;300,"Tinggi Kalori",IF(nutrition!$B489&gt;100,"Kalori Sedang","Rendah Kalori"))</f>
        <v>Kalori Sedang</v>
      </c>
      <c r="H489" s="27" t="s">
        <v>493</v>
      </c>
    </row>
    <row r="490" spans="1:8" x14ac:dyDescent="0.3">
      <c r="A490" s="21">
        <v>489</v>
      </c>
      <c r="B490" s="22">
        <v>176</v>
      </c>
      <c r="C490" s="22">
        <v>32</v>
      </c>
      <c r="D490" s="22">
        <v>44</v>
      </c>
      <c r="E490" s="22">
        <v>0</v>
      </c>
      <c r="F490" s="24" t="str">
        <f>PROPER(nutrition!$H490)</f>
        <v>Ikan Pepetek</v>
      </c>
      <c r="G490" s="22" t="str">
        <f>IF(nutrition!$B490&gt;300,"Tinggi Kalori",IF(nutrition!$B490&gt;100,"Kalori Sedang","Rendah Kalori"))</f>
        <v>Kalori Sedang</v>
      </c>
      <c r="H490" s="23" t="s">
        <v>494</v>
      </c>
    </row>
    <row r="491" spans="1:8" x14ac:dyDescent="0.3">
      <c r="A491" s="25">
        <v>490</v>
      </c>
      <c r="B491" s="26">
        <v>157</v>
      </c>
      <c r="C491" s="26">
        <v>28</v>
      </c>
      <c r="D491" s="26">
        <v>42</v>
      </c>
      <c r="E491" s="26">
        <v>18</v>
      </c>
      <c r="F491" s="28" t="str">
        <f>PROPER(nutrition!$H491)</f>
        <v>Ikan Pindang Banjar Mentah</v>
      </c>
      <c r="G491" s="26" t="str">
        <f>IF(nutrition!$B491&gt;300,"Tinggi Kalori",IF(nutrition!$B491&gt;100,"Kalori Sedang","Rendah Kalori"))</f>
        <v>Kalori Sedang</v>
      </c>
      <c r="H491" s="27" t="s">
        <v>495</v>
      </c>
    </row>
    <row r="492" spans="1:8" x14ac:dyDescent="0.3">
      <c r="A492" s="21">
        <v>491</v>
      </c>
      <c r="B492" s="22">
        <v>170</v>
      </c>
      <c r="C492" s="22">
        <v>31</v>
      </c>
      <c r="D492" s="22">
        <v>42</v>
      </c>
      <c r="E492" s="22">
        <v>0</v>
      </c>
      <c r="F492" s="24" t="str">
        <f>PROPER(nutrition!$H492)</f>
        <v>Ikan Pindang Benggol Mentah</v>
      </c>
      <c r="G492" s="22" t="str">
        <f>IF(nutrition!$B492&gt;300,"Tinggi Kalori",IF(nutrition!$B492&gt;100,"Kalori Sedang","Rendah Kalori"))</f>
        <v>Kalori Sedang</v>
      </c>
      <c r="H492" s="23" t="s">
        <v>496</v>
      </c>
    </row>
    <row r="493" spans="1:8" x14ac:dyDescent="0.3">
      <c r="A493" s="25">
        <v>492</v>
      </c>
      <c r="B493" s="26">
        <v>153</v>
      </c>
      <c r="C493" s="26">
        <v>30</v>
      </c>
      <c r="D493" s="26">
        <v>28</v>
      </c>
      <c r="E493" s="26">
        <v>0</v>
      </c>
      <c r="F493" s="28" t="str">
        <f>PROPER(nutrition!$H493)</f>
        <v>Ikan Pindang Layang Mentah</v>
      </c>
      <c r="G493" s="26" t="str">
        <f>IF(nutrition!$B493&gt;300,"Tinggi Kalori",IF(nutrition!$B493&gt;100,"Kalori Sedang","Rendah Kalori"))</f>
        <v>Kalori Sedang</v>
      </c>
      <c r="H493" s="27" t="s">
        <v>497</v>
      </c>
    </row>
    <row r="494" spans="1:8" x14ac:dyDescent="0.3">
      <c r="A494" s="21">
        <v>493</v>
      </c>
      <c r="B494" s="22">
        <v>142</v>
      </c>
      <c r="C494" s="22">
        <v>27</v>
      </c>
      <c r="D494" s="22">
        <v>3</v>
      </c>
      <c r="E494" s="22">
        <v>0</v>
      </c>
      <c r="F494" s="24" t="str">
        <f>PROPER(nutrition!$H494)</f>
        <v>Ikan Pindang Selar Mentah</v>
      </c>
      <c r="G494" s="22" t="str">
        <f>IF(nutrition!$B494&gt;300,"Tinggi Kalori",IF(nutrition!$B494&gt;100,"Kalori Sedang","Rendah Kalori"))</f>
        <v>Kalori Sedang</v>
      </c>
      <c r="H494" s="23" t="s">
        <v>498</v>
      </c>
    </row>
    <row r="495" spans="1:8" x14ac:dyDescent="0.3">
      <c r="A495" s="25">
        <v>494</v>
      </c>
      <c r="B495" s="26">
        <v>415</v>
      </c>
      <c r="C495" s="26">
        <v>613</v>
      </c>
      <c r="D495" s="26">
        <v>176</v>
      </c>
      <c r="E495" s="26">
        <v>29</v>
      </c>
      <c r="F495" s="28" t="str">
        <f>PROPER(nutrition!$H495)</f>
        <v>Ikan Sale Lais Mentah</v>
      </c>
      <c r="G495" s="26" t="str">
        <f>IF(nutrition!$B495&gt;300,"Tinggi Kalori",IF(nutrition!$B495&gt;100,"Kalori Sedang","Rendah Kalori"))</f>
        <v>Tinggi Kalori</v>
      </c>
      <c r="H495" s="27" t="s">
        <v>499</v>
      </c>
    </row>
    <row r="496" spans="1:8" x14ac:dyDescent="0.3">
      <c r="A496" s="21">
        <v>495</v>
      </c>
      <c r="B496" s="22">
        <v>534</v>
      </c>
      <c r="C496" s="22">
        <v>402</v>
      </c>
      <c r="D496" s="22">
        <v>393</v>
      </c>
      <c r="E496" s="22">
        <v>49</v>
      </c>
      <c r="F496" s="24" t="str">
        <f>PROPER(nutrition!$H496)</f>
        <v>Ikan Sale Segar</v>
      </c>
      <c r="G496" s="22" t="str">
        <f>IF(nutrition!$B496&gt;300,"Tinggi Kalori",IF(nutrition!$B496&gt;100,"Kalori Sedang","Rendah Kalori"))</f>
        <v>Tinggi Kalori</v>
      </c>
      <c r="H496" s="23" t="s">
        <v>500</v>
      </c>
    </row>
    <row r="497" spans="1:8" x14ac:dyDescent="0.3">
      <c r="A497" s="25">
        <v>496</v>
      </c>
      <c r="B497" s="26">
        <v>284</v>
      </c>
      <c r="C497" s="26">
        <v>341</v>
      </c>
      <c r="D497" s="26">
        <v>99</v>
      </c>
      <c r="E497" s="26">
        <v>146</v>
      </c>
      <c r="F497" s="28" t="str">
        <f>PROPER(nutrition!$H497)</f>
        <v>Ikan Saluang Kering Mentah</v>
      </c>
      <c r="G497" s="26" t="str">
        <f>IF(nutrition!$B497&gt;300,"Tinggi Kalori",IF(nutrition!$B497&gt;100,"Kalori Sedang","Rendah Kalori"))</f>
        <v>Kalori Sedang</v>
      </c>
      <c r="H497" s="27" t="s">
        <v>501</v>
      </c>
    </row>
    <row r="498" spans="1:8" x14ac:dyDescent="0.3">
      <c r="A498" s="21">
        <v>497</v>
      </c>
      <c r="B498" s="22">
        <v>113</v>
      </c>
      <c r="C498" s="22">
        <v>139</v>
      </c>
      <c r="D498" s="22">
        <v>49</v>
      </c>
      <c r="E498" s="22">
        <v>34</v>
      </c>
      <c r="F498" s="24" t="str">
        <f>PROPER(nutrition!$H498)</f>
        <v>Ikan Saluang Segar</v>
      </c>
      <c r="G498" s="22" t="str">
        <f>IF(nutrition!$B498&gt;300,"Tinggi Kalori",IF(nutrition!$B498&gt;100,"Kalori Sedang","Rendah Kalori"))</f>
        <v>Kalori Sedang</v>
      </c>
      <c r="H498" s="23" t="s">
        <v>502</v>
      </c>
    </row>
    <row r="499" spans="1:8" x14ac:dyDescent="0.3">
      <c r="A499" s="25">
        <v>498</v>
      </c>
      <c r="B499" s="26">
        <v>240</v>
      </c>
      <c r="C499" s="26">
        <v>217</v>
      </c>
      <c r="D499" s="26">
        <v>77</v>
      </c>
      <c r="E499" s="26">
        <v>207</v>
      </c>
      <c r="F499" s="28" t="str">
        <f>PROPER(nutrition!$H499)</f>
        <v>Ikan Sanggang Masakan</v>
      </c>
      <c r="G499" s="26" t="str">
        <f>IF(nutrition!$B499&gt;300,"Tinggi Kalori",IF(nutrition!$B499&gt;100,"Kalori Sedang","Rendah Kalori"))</f>
        <v>Kalori Sedang</v>
      </c>
      <c r="H499" s="27" t="s">
        <v>503</v>
      </c>
    </row>
    <row r="500" spans="1:8" x14ac:dyDescent="0.3">
      <c r="A500" s="21">
        <v>499</v>
      </c>
      <c r="B500" s="22">
        <v>109</v>
      </c>
      <c r="C500" s="22">
        <v>199</v>
      </c>
      <c r="D500" s="22">
        <v>18</v>
      </c>
      <c r="E500" s="22">
        <v>34</v>
      </c>
      <c r="F500" s="24" t="str">
        <f>PROPER(nutrition!$H500)</f>
        <v>Ikan Sarden Segar</v>
      </c>
      <c r="G500" s="22" t="str">
        <f>IF(nutrition!$B500&gt;300,"Tinggi Kalori",IF(nutrition!$B500&gt;100,"Kalori Sedang","Rendah Kalori"))</f>
        <v>Kalori Sedang</v>
      </c>
      <c r="H500" s="23" t="s">
        <v>504</v>
      </c>
    </row>
    <row r="501" spans="1:8" x14ac:dyDescent="0.3">
      <c r="A501" s="25">
        <v>500</v>
      </c>
      <c r="B501" s="26">
        <v>113</v>
      </c>
      <c r="C501" s="26">
        <v>17</v>
      </c>
      <c r="D501" s="26">
        <v>45</v>
      </c>
      <c r="E501" s="26">
        <v>0</v>
      </c>
      <c r="F501" s="28" t="str">
        <f>PROPER(nutrition!$H501)</f>
        <v>Ikan Segar</v>
      </c>
      <c r="G501" s="26" t="str">
        <f>IF(nutrition!$B501&gt;300,"Tinggi Kalori",IF(nutrition!$B501&gt;100,"Kalori Sedang","Rendah Kalori"))</f>
        <v>Kalori Sedang</v>
      </c>
      <c r="H501" s="27" t="s">
        <v>505</v>
      </c>
    </row>
    <row r="502" spans="1:8" x14ac:dyDescent="0.3">
      <c r="A502" s="21">
        <v>501</v>
      </c>
      <c r="B502" s="22">
        <v>194</v>
      </c>
      <c r="C502" s="22">
        <v>38</v>
      </c>
      <c r="D502" s="22">
        <v>35</v>
      </c>
      <c r="E502" s="22">
        <v>0</v>
      </c>
      <c r="F502" s="24" t="str">
        <f>PROPER(nutrition!$H502)</f>
        <v>Ikan Selar Kering</v>
      </c>
      <c r="G502" s="22" t="str">
        <f>IF(nutrition!$B502&gt;300,"Tinggi Kalori",IF(nutrition!$B502&gt;100,"Kalori Sedang","Rendah Kalori"))</f>
        <v>Kalori Sedang</v>
      </c>
      <c r="H502" s="23" t="s">
        <v>506</v>
      </c>
    </row>
    <row r="503" spans="1:8" x14ac:dyDescent="0.3">
      <c r="A503" s="25">
        <v>502</v>
      </c>
      <c r="B503" s="26">
        <v>138</v>
      </c>
      <c r="C503" s="26">
        <v>27</v>
      </c>
      <c r="D503" s="26">
        <v>33</v>
      </c>
      <c r="E503" s="26">
        <v>0</v>
      </c>
      <c r="F503" s="28" t="str">
        <f>PROPER(nutrition!$H503)</f>
        <v>Ikan Selar Kuning Cue Mentah</v>
      </c>
      <c r="G503" s="26" t="str">
        <f>IF(nutrition!$B503&gt;300,"Tinggi Kalori",IF(nutrition!$B503&gt;100,"Kalori Sedang","Rendah Kalori"))</f>
        <v>Kalori Sedang</v>
      </c>
      <c r="H503" s="27" t="s">
        <v>507</v>
      </c>
    </row>
    <row r="504" spans="1:8" x14ac:dyDescent="0.3">
      <c r="A504" s="21">
        <v>503</v>
      </c>
      <c r="B504" s="22">
        <v>100</v>
      </c>
      <c r="C504" s="22">
        <v>188</v>
      </c>
      <c r="D504" s="22">
        <v>22</v>
      </c>
      <c r="E504" s="22">
        <v>0</v>
      </c>
      <c r="F504" s="24" t="str">
        <f>PROPER(nutrition!$H504)</f>
        <v>Ikan Selar Segar</v>
      </c>
      <c r="G504" s="22" t="str">
        <f>IF(nutrition!$B504&gt;300,"Tinggi Kalori",IF(nutrition!$B504&gt;100,"Kalori Sedang","Rendah Kalori"))</f>
        <v>Rendah Kalori</v>
      </c>
      <c r="H504" s="23" t="s">
        <v>508</v>
      </c>
    </row>
    <row r="505" spans="1:8" x14ac:dyDescent="0.3">
      <c r="A505" s="25">
        <v>504</v>
      </c>
      <c r="B505" s="26">
        <v>289</v>
      </c>
      <c r="C505" s="26">
        <v>38</v>
      </c>
      <c r="D505" s="26">
        <v>14</v>
      </c>
      <c r="E505" s="26">
        <v>0</v>
      </c>
      <c r="F505" s="28" t="str">
        <f>PROPER(nutrition!$H505)</f>
        <v>Ikan Sepat Kering</v>
      </c>
      <c r="G505" s="26" t="str">
        <f>IF(nutrition!$B505&gt;300,"Tinggi Kalori",IF(nutrition!$B505&gt;100,"Kalori Sedang","Rendah Kalori"))</f>
        <v>Kalori Sedang</v>
      </c>
      <c r="H505" s="27" t="s">
        <v>509</v>
      </c>
    </row>
    <row r="506" spans="1:8" x14ac:dyDescent="0.3">
      <c r="A506" s="21">
        <v>505</v>
      </c>
      <c r="B506" s="22">
        <v>84</v>
      </c>
      <c r="C506" s="22">
        <v>152</v>
      </c>
      <c r="D506" s="22">
        <v>6</v>
      </c>
      <c r="E506" s="22">
        <v>47</v>
      </c>
      <c r="F506" s="24" t="str">
        <f>PROPER(nutrition!$H506)</f>
        <v>Ikan Sepat Segar</v>
      </c>
      <c r="G506" s="22" t="str">
        <f>IF(nutrition!$B506&gt;300,"Tinggi Kalori",IF(nutrition!$B506&gt;100,"Kalori Sedang","Rendah Kalori"))</f>
        <v>Rendah Kalori</v>
      </c>
      <c r="H506" s="23" t="s">
        <v>510</v>
      </c>
    </row>
    <row r="507" spans="1:8" x14ac:dyDescent="0.3">
      <c r="A507" s="25">
        <v>506</v>
      </c>
      <c r="B507" s="26">
        <v>81</v>
      </c>
      <c r="C507" s="26">
        <v>114</v>
      </c>
      <c r="D507" s="26">
        <v>19</v>
      </c>
      <c r="E507" s="26">
        <v>38</v>
      </c>
      <c r="F507" s="28" t="str">
        <f>PROPER(nutrition!$H507)</f>
        <v>Ikan Sidat Segar</v>
      </c>
      <c r="G507" s="26" t="str">
        <f>IF(nutrition!$B507&gt;300,"Tinggi Kalori",IF(nutrition!$B507&gt;100,"Kalori Sedang","Rendah Kalori"))</f>
        <v>Rendah Kalori</v>
      </c>
      <c r="H507" s="27" t="s">
        <v>511</v>
      </c>
    </row>
    <row r="508" spans="1:8" x14ac:dyDescent="0.3">
      <c r="A508" s="21">
        <v>507</v>
      </c>
      <c r="B508" s="22">
        <v>199</v>
      </c>
      <c r="C508" s="22">
        <v>341</v>
      </c>
      <c r="D508" s="22">
        <v>38</v>
      </c>
      <c r="E508" s="22">
        <v>71</v>
      </c>
      <c r="F508" s="24" t="str">
        <f>PROPER(nutrition!$H508)</f>
        <v>Ikan Sunu Asin Mentah</v>
      </c>
      <c r="G508" s="22" t="str">
        <f>IF(nutrition!$B508&gt;300,"Tinggi Kalori",IF(nutrition!$B508&gt;100,"Kalori Sedang","Rendah Kalori"))</f>
        <v>Kalori Sedang</v>
      </c>
      <c r="H508" s="23" t="s">
        <v>512</v>
      </c>
    </row>
    <row r="509" spans="1:8" x14ac:dyDescent="0.3">
      <c r="A509" s="25">
        <v>508</v>
      </c>
      <c r="B509" s="26">
        <v>111</v>
      </c>
      <c r="C509" s="26">
        <v>133</v>
      </c>
      <c r="D509" s="26">
        <v>34</v>
      </c>
      <c r="E509" s="26">
        <v>67</v>
      </c>
      <c r="F509" s="28" t="str">
        <f>PROPER(nutrition!$H509)</f>
        <v>Ikan Sunu Segar</v>
      </c>
      <c r="G509" s="26" t="str">
        <f>IF(nutrition!$B509&gt;300,"Tinggi Kalori",IF(nutrition!$B509&gt;100,"Kalori Sedang","Rendah Kalori"))</f>
        <v>Kalori Sedang</v>
      </c>
      <c r="H509" s="27" t="s">
        <v>513</v>
      </c>
    </row>
    <row r="510" spans="1:8" x14ac:dyDescent="0.3">
      <c r="A510" s="21">
        <v>509</v>
      </c>
      <c r="B510" s="22">
        <v>88</v>
      </c>
      <c r="C510" s="22">
        <v>159</v>
      </c>
      <c r="D510" s="22">
        <v>9</v>
      </c>
      <c r="E510" s="22">
        <v>41</v>
      </c>
      <c r="F510" s="24" t="str">
        <f>PROPER(nutrition!$H510)</f>
        <v>Ikan Tahuman Segar</v>
      </c>
      <c r="G510" s="22" t="str">
        <f>IF(nutrition!$B510&gt;300,"Tinggi Kalori",IF(nutrition!$B510&gt;100,"Kalori Sedang","Rendah Kalori"))</f>
        <v>Rendah Kalori</v>
      </c>
      <c r="H510" s="23" t="s">
        <v>514</v>
      </c>
    </row>
    <row r="511" spans="1:8" x14ac:dyDescent="0.3">
      <c r="A511" s="25">
        <v>510</v>
      </c>
      <c r="B511" s="26">
        <v>96</v>
      </c>
      <c r="C511" s="26">
        <v>195</v>
      </c>
      <c r="D511" s="26">
        <v>11</v>
      </c>
      <c r="E511" s="26">
        <v>2</v>
      </c>
      <c r="F511" s="28" t="str">
        <f>PROPER(nutrition!$H511)</f>
        <v>Ikan Tarmon Segar</v>
      </c>
      <c r="G511" s="26" t="str">
        <f>IF(nutrition!$B511&gt;300,"Tinggi Kalori",IF(nutrition!$B511&gt;100,"Kalori Sedang","Rendah Kalori"))</f>
        <v>Rendah Kalori</v>
      </c>
      <c r="H511" s="27" t="s">
        <v>515</v>
      </c>
    </row>
    <row r="512" spans="1:8" x14ac:dyDescent="0.3">
      <c r="A512" s="21">
        <v>511</v>
      </c>
      <c r="B512" s="22">
        <v>95</v>
      </c>
      <c r="C512" s="22">
        <v>158</v>
      </c>
      <c r="D512" s="22">
        <v>7</v>
      </c>
      <c r="E512" s="22">
        <v>65</v>
      </c>
      <c r="F512" s="24" t="str">
        <f>PROPER(nutrition!$H512)</f>
        <v>Ikan Telan Segar</v>
      </c>
      <c r="G512" s="22" t="str">
        <f>IF(nutrition!$B512&gt;300,"Tinggi Kalori",IF(nutrition!$B512&gt;100,"Kalori Sedang","Rendah Kalori"))</f>
        <v>Rendah Kalori</v>
      </c>
      <c r="H512" s="23" t="s">
        <v>516</v>
      </c>
    </row>
    <row r="513" spans="1:8" x14ac:dyDescent="0.3">
      <c r="A513" s="25">
        <v>512</v>
      </c>
      <c r="B513" s="26">
        <v>358</v>
      </c>
      <c r="C513" s="26">
        <v>207</v>
      </c>
      <c r="D513" s="26">
        <v>264</v>
      </c>
      <c r="E513" s="26">
        <v>94</v>
      </c>
      <c r="F513" s="28" t="str">
        <f>PROPER(nutrition!$H513)</f>
        <v>Ikan Telur Asin Mentah</v>
      </c>
      <c r="G513" s="26" t="str">
        <f>IF(nutrition!$B513&gt;300,"Tinggi Kalori",IF(nutrition!$B513&gt;100,"Kalori Sedang","Rendah Kalori"))</f>
        <v>Tinggi Kalori</v>
      </c>
      <c r="H513" s="27" t="s">
        <v>517</v>
      </c>
    </row>
    <row r="514" spans="1:8" x14ac:dyDescent="0.3">
      <c r="A514" s="21">
        <v>513</v>
      </c>
      <c r="B514" s="22">
        <v>204</v>
      </c>
      <c r="C514" s="22">
        <v>16</v>
      </c>
      <c r="D514" s="22">
        <v>15</v>
      </c>
      <c r="E514" s="22">
        <v>0</v>
      </c>
      <c r="F514" s="24" t="str">
        <f>PROPER(nutrition!$H514)</f>
        <v>Ikan Tembang</v>
      </c>
      <c r="G514" s="22" t="str">
        <f>IF(nutrition!$B514&gt;300,"Tinggi Kalori",IF(nutrition!$B514&gt;100,"Kalori Sedang","Rendah Kalori"))</f>
        <v>Kalori Sedang</v>
      </c>
      <c r="H514" s="23" t="s">
        <v>518</v>
      </c>
    </row>
    <row r="515" spans="1:8" x14ac:dyDescent="0.3">
      <c r="A515" s="25">
        <v>514</v>
      </c>
      <c r="B515" s="26">
        <v>101</v>
      </c>
      <c r="C515" s="26">
        <v>151</v>
      </c>
      <c r="D515" s="26">
        <v>41</v>
      </c>
      <c r="E515" s="26">
        <v>1</v>
      </c>
      <c r="F515" s="28" t="str">
        <f>PROPER(nutrition!$H515)</f>
        <v>Ikan Tempahas Segar</v>
      </c>
      <c r="G515" s="26" t="str">
        <f>IF(nutrition!$B515&gt;300,"Tinggi Kalori",IF(nutrition!$B515&gt;100,"Kalori Sedang","Rendah Kalori"))</f>
        <v>Kalori Sedang</v>
      </c>
      <c r="H515" s="27" t="s">
        <v>519</v>
      </c>
    </row>
    <row r="516" spans="1:8" x14ac:dyDescent="0.3">
      <c r="A516" s="21">
        <v>515</v>
      </c>
      <c r="B516" s="22">
        <v>316</v>
      </c>
      <c r="C516" s="22">
        <v>601</v>
      </c>
      <c r="D516" s="22">
        <v>65</v>
      </c>
      <c r="E516" s="22">
        <v>224</v>
      </c>
      <c r="F516" s="24" t="str">
        <f>PROPER(nutrition!$H516)</f>
        <v>Ikan Tepung Mentah</v>
      </c>
      <c r="G516" s="22" t="str">
        <f>IF(nutrition!$B516&gt;300,"Tinggi Kalori",IF(nutrition!$B516&gt;100,"Kalori Sedang","Rendah Kalori"))</f>
        <v>Tinggi Kalori</v>
      </c>
      <c r="H516" s="23" t="s">
        <v>520</v>
      </c>
    </row>
    <row r="517" spans="1:8" x14ac:dyDescent="0.3">
      <c r="A517" s="25">
        <v>516</v>
      </c>
      <c r="B517" s="26">
        <v>98</v>
      </c>
      <c r="C517" s="26">
        <v>196</v>
      </c>
      <c r="D517" s="26">
        <v>17</v>
      </c>
      <c r="E517" s="26">
        <v>1</v>
      </c>
      <c r="F517" s="28" t="str">
        <f>PROPER(nutrition!$H517)</f>
        <v>Ikan Terbang Segar</v>
      </c>
      <c r="G517" s="26" t="str">
        <f>IF(nutrition!$B517&gt;300,"Tinggi Kalori",IF(nutrition!$B517&gt;100,"Kalori Sedang","Rendah Kalori"))</f>
        <v>Rendah Kalori</v>
      </c>
      <c r="H517" s="27" t="s">
        <v>521</v>
      </c>
    </row>
    <row r="518" spans="1:8" x14ac:dyDescent="0.3">
      <c r="A518" s="21">
        <v>517</v>
      </c>
      <c r="B518" s="22">
        <v>277</v>
      </c>
      <c r="C518" s="22">
        <v>60</v>
      </c>
      <c r="D518" s="22">
        <v>23</v>
      </c>
      <c r="E518" s="22">
        <v>18</v>
      </c>
      <c r="F518" s="24" t="str">
        <f>PROPER(nutrition!$H518)</f>
        <v>Ikan Teri Bubuk</v>
      </c>
      <c r="G518" s="22" t="str">
        <f>IF(nutrition!$B518&gt;300,"Tinggi Kalori",IF(nutrition!$B518&gt;100,"Kalori Sedang","Rendah Kalori"))</f>
        <v>Kalori Sedang</v>
      </c>
      <c r="H518" s="23" t="s">
        <v>522</v>
      </c>
    </row>
    <row r="519" spans="1:8" x14ac:dyDescent="0.3">
      <c r="A519" s="25">
        <v>518</v>
      </c>
      <c r="B519" s="26">
        <v>170</v>
      </c>
      <c r="C519" s="26">
        <v>334</v>
      </c>
      <c r="D519" s="26">
        <v>3</v>
      </c>
      <c r="E519" s="26">
        <v>0</v>
      </c>
      <c r="F519" s="28" t="str">
        <f>PROPER(nutrition!$H519)</f>
        <v>Ikan Teri Kering</v>
      </c>
      <c r="G519" s="26" t="str">
        <f>IF(nutrition!$B519&gt;300,"Tinggi Kalori",IF(nutrition!$B519&gt;100,"Kalori Sedang","Rendah Kalori"))</f>
        <v>Kalori Sedang</v>
      </c>
      <c r="H519" s="27" t="s">
        <v>523</v>
      </c>
    </row>
    <row r="520" spans="1:8" x14ac:dyDescent="0.3">
      <c r="A520" s="21">
        <v>519</v>
      </c>
      <c r="B520" s="22">
        <v>331</v>
      </c>
      <c r="C520" s="22">
        <v>687</v>
      </c>
      <c r="D520" s="22">
        <v>42</v>
      </c>
      <c r="E520" s="22">
        <v>0</v>
      </c>
      <c r="F520" s="24" t="str">
        <f>PROPER(nutrition!$H520)</f>
        <v>Ikan Teri Kering Tawar</v>
      </c>
      <c r="G520" s="22" t="str">
        <f>IF(nutrition!$B520&gt;300,"Tinggi Kalori",IF(nutrition!$B520&gt;100,"Kalori Sedang","Rendah Kalori"))</f>
        <v>Tinggi Kalori</v>
      </c>
      <c r="H520" s="23" t="s">
        <v>524</v>
      </c>
    </row>
    <row r="521" spans="1:8" x14ac:dyDescent="0.3">
      <c r="A521" s="25">
        <v>520</v>
      </c>
      <c r="B521" s="26">
        <v>144</v>
      </c>
      <c r="C521" s="26">
        <v>325</v>
      </c>
      <c r="D521" s="26">
        <v>6</v>
      </c>
      <c r="E521" s="26">
        <v>0</v>
      </c>
      <c r="F521" s="28" t="str">
        <f>PROPER(nutrition!$H521)</f>
        <v>Ikan Teri Nasi Kering</v>
      </c>
      <c r="G521" s="26" t="str">
        <f>IF(nutrition!$B521&gt;300,"Tinggi Kalori",IF(nutrition!$B521&gt;100,"Kalori Sedang","Rendah Kalori"))</f>
        <v>Kalori Sedang</v>
      </c>
      <c r="H521" s="27" t="s">
        <v>525</v>
      </c>
    </row>
    <row r="522" spans="1:8" x14ac:dyDescent="0.3">
      <c r="A522" s="21">
        <v>521</v>
      </c>
      <c r="B522" s="22">
        <v>74</v>
      </c>
      <c r="C522" s="22">
        <v>103</v>
      </c>
      <c r="D522" s="22">
        <v>14</v>
      </c>
      <c r="E522" s="22">
        <v>41</v>
      </c>
      <c r="F522" s="24" t="str">
        <f>PROPER(nutrition!$H522)</f>
        <v>Ikan Teri Segar</v>
      </c>
      <c r="G522" s="22" t="str">
        <f>IF(nutrition!$B522&gt;300,"Tinggi Kalori",IF(nutrition!$B522&gt;100,"Kalori Sedang","Rendah Kalori"))</f>
        <v>Rendah Kalori</v>
      </c>
      <c r="H522" s="23" t="s">
        <v>526</v>
      </c>
    </row>
    <row r="523" spans="1:8" x14ac:dyDescent="0.3">
      <c r="A523" s="25">
        <v>522</v>
      </c>
      <c r="B523" s="26">
        <v>347</v>
      </c>
      <c r="C523" s="26">
        <v>488</v>
      </c>
      <c r="D523" s="26">
        <v>64</v>
      </c>
      <c r="E523" s="26">
        <v>196</v>
      </c>
      <c r="F523" s="28" t="str">
        <f>PROPER(nutrition!$H523)</f>
        <v>Ikan Teri Tepung</v>
      </c>
      <c r="G523" s="26" t="str">
        <f>IF(nutrition!$B523&gt;300,"Tinggi Kalori",IF(nutrition!$B523&gt;100,"Kalori Sedang","Rendah Kalori"))</f>
        <v>Tinggi Kalori</v>
      </c>
      <c r="H523" s="27" t="s">
        <v>527</v>
      </c>
    </row>
    <row r="524" spans="1:8" x14ac:dyDescent="0.3">
      <c r="A524" s="21">
        <v>523</v>
      </c>
      <c r="B524" s="22">
        <v>82</v>
      </c>
      <c r="C524" s="22">
        <v>174</v>
      </c>
      <c r="D524" s="22">
        <v>4</v>
      </c>
      <c r="E524" s="22">
        <v>23</v>
      </c>
      <c r="F524" s="24" t="str">
        <f>PROPER(nutrition!$H524)</f>
        <v>Ikan Titang Segar</v>
      </c>
      <c r="G524" s="22" t="str">
        <f>IF(nutrition!$B524&gt;300,"Tinggi Kalori",IF(nutrition!$B524&gt;100,"Kalori Sedang","Rendah Kalori"))</f>
        <v>Rendah Kalori</v>
      </c>
      <c r="H524" s="23" t="s">
        <v>528</v>
      </c>
    </row>
    <row r="525" spans="1:8" x14ac:dyDescent="0.3">
      <c r="A525" s="25">
        <v>524</v>
      </c>
      <c r="B525" s="26">
        <v>100</v>
      </c>
      <c r="C525" s="26">
        <v>137</v>
      </c>
      <c r="D525" s="26">
        <v>15</v>
      </c>
      <c r="E525" s="26">
        <v>8</v>
      </c>
      <c r="F525" s="28" t="str">
        <f>PROPER(nutrition!$H525)</f>
        <v>Ikan Tongkol Segar</v>
      </c>
      <c r="G525" s="26" t="str">
        <f>IF(nutrition!$B525&gt;300,"Tinggi Kalori",IF(nutrition!$B525&gt;100,"Kalori Sedang","Rendah Kalori"))</f>
        <v>Rendah Kalori</v>
      </c>
      <c r="H525" s="27" t="s">
        <v>529</v>
      </c>
    </row>
    <row r="526" spans="1:8" x14ac:dyDescent="0.3">
      <c r="A526" s="21">
        <v>525</v>
      </c>
      <c r="B526" s="22">
        <v>96</v>
      </c>
      <c r="C526" s="22">
        <v>192</v>
      </c>
      <c r="D526" s="22">
        <v>2</v>
      </c>
      <c r="E526" s="22">
        <v>2</v>
      </c>
      <c r="F526" s="24" t="str">
        <f>PROPER(nutrition!$H526)</f>
        <v>Ikan Turi Segar</v>
      </c>
      <c r="G526" s="22" t="str">
        <f>IF(nutrition!$B526&gt;300,"Tinggi Kalori",IF(nutrition!$B526&gt;100,"Kalori Sedang","Rendah Kalori"))</f>
        <v>Rendah Kalori</v>
      </c>
      <c r="H526" s="23" t="s">
        <v>530</v>
      </c>
    </row>
    <row r="527" spans="1:8" x14ac:dyDescent="0.3">
      <c r="A527" s="25">
        <v>526</v>
      </c>
      <c r="B527" s="26">
        <v>474</v>
      </c>
      <c r="C527" s="26">
        <v>76</v>
      </c>
      <c r="D527" s="26">
        <v>216</v>
      </c>
      <c r="E527" s="26">
        <v>623</v>
      </c>
      <c r="F527" s="28" t="str">
        <f>PROPER(nutrition!$H527)</f>
        <v>Intip Goreng</v>
      </c>
      <c r="G527" s="26" t="str">
        <f>IF(nutrition!$B527&gt;300,"Tinggi Kalori",IF(nutrition!$B527&gt;100,"Kalori Sedang","Rendah Kalori"))</f>
        <v>Tinggi Kalori</v>
      </c>
      <c r="H527" s="27" t="s">
        <v>531</v>
      </c>
    </row>
    <row r="528" spans="1:8" x14ac:dyDescent="0.3">
      <c r="A528" s="21">
        <v>527</v>
      </c>
      <c r="B528" s="22">
        <v>496</v>
      </c>
      <c r="C528" s="22">
        <v>303</v>
      </c>
      <c r="D528" s="22">
        <v>335</v>
      </c>
      <c r="E528" s="22">
        <v>184</v>
      </c>
      <c r="F528" s="24" t="str">
        <f>PROPER(nutrition!$H528)</f>
        <v>Itik Alabio Daging Dendeng Mentah</v>
      </c>
      <c r="G528" s="22" t="str">
        <f>IF(nutrition!$B528&gt;300,"Tinggi Kalori",IF(nutrition!$B528&gt;100,"Kalori Sedang","Rendah Kalori"))</f>
        <v>Tinggi Kalori</v>
      </c>
      <c r="H528" s="23" t="s">
        <v>532</v>
      </c>
    </row>
    <row r="529" spans="1:8" x14ac:dyDescent="0.3">
      <c r="A529" s="25">
        <v>528</v>
      </c>
      <c r="B529" s="26">
        <v>156</v>
      </c>
      <c r="C529" s="26">
        <v>27</v>
      </c>
      <c r="D529" s="26">
        <v>13</v>
      </c>
      <c r="E529" s="26">
        <v>333</v>
      </c>
      <c r="F529" s="28" t="str">
        <f>PROPER(nutrition!$H529)</f>
        <v>Jagung Grontol</v>
      </c>
      <c r="G529" s="26" t="str">
        <f>IF(nutrition!$B529&gt;300,"Tinggi Kalori",IF(nutrition!$B529&gt;100,"Kalori Sedang","Rendah Kalori"))</f>
        <v>Kalori Sedang</v>
      </c>
      <c r="H529" s="27" t="s">
        <v>533</v>
      </c>
    </row>
    <row r="530" spans="1:8" x14ac:dyDescent="0.3">
      <c r="A530" s="21">
        <v>529</v>
      </c>
      <c r="B530" s="22">
        <v>361</v>
      </c>
      <c r="C530" s="22">
        <v>87</v>
      </c>
      <c r="D530" s="22">
        <v>45</v>
      </c>
      <c r="E530" s="22">
        <v>724</v>
      </c>
      <c r="F530" s="24" t="str">
        <f>PROPER(nutrition!$H530)</f>
        <v>Jagung Kuning Giling</v>
      </c>
      <c r="G530" s="22" t="str">
        <f>IF(nutrition!$B530&gt;300,"Tinggi Kalori",IF(nutrition!$B530&gt;100,"Kalori Sedang","Rendah Kalori"))</f>
        <v>Tinggi Kalori</v>
      </c>
      <c r="H530" s="23" t="s">
        <v>534</v>
      </c>
    </row>
    <row r="531" spans="1:8" x14ac:dyDescent="0.3">
      <c r="A531" s="25">
        <v>530</v>
      </c>
      <c r="B531" s="26">
        <v>129</v>
      </c>
      <c r="C531" s="26">
        <v>41</v>
      </c>
      <c r="D531" s="26">
        <v>13</v>
      </c>
      <c r="E531" s="26">
        <v>303</v>
      </c>
      <c r="F531" s="28" t="str">
        <f>PROPER(nutrition!$H531)</f>
        <v>Jagung Kuning Muda</v>
      </c>
      <c r="G531" s="26" t="str">
        <f>IF(nutrition!$B531&gt;300,"Tinggi Kalori",IF(nutrition!$B531&gt;100,"Kalori Sedang","Rendah Kalori"))</f>
        <v>Kalori Sedang</v>
      </c>
      <c r="H531" s="27" t="s">
        <v>535</v>
      </c>
    </row>
    <row r="532" spans="1:8" x14ac:dyDescent="0.3">
      <c r="A532" s="21">
        <v>531</v>
      </c>
      <c r="B532" s="22">
        <v>307</v>
      </c>
      <c r="C532" s="22">
        <v>79</v>
      </c>
      <c r="D532" s="22">
        <v>34</v>
      </c>
      <c r="E532" s="22">
        <v>636</v>
      </c>
      <c r="F532" s="24" t="str">
        <f>PROPER(nutrition!$H532)</f>
        <v>Jagung Kuning Pipil Baru</v>
      </c>
      <c r="G532" s="22" t="str">
        <f>IF(nutrition!$B532&gt;300,"Tinggi Kalori",IF(nutrition!$B532&gt;100,"Kalori Sedang","Rendah Kalori"))</f>
        <v>Tinggi Kalori</v>
      </c>
      <c r="H532" s="23" t="s">
        <v>536</v>
      </c>
    </row>
    <row r="533" spans="1:8" x14ac:dyDescent="0.3">
      <c r="A533" s="25">
        <v>532</v>
      </c>
      <c r="B533" s="26">
        <v>366</v>
      </c>
      <c r="C533" s="26">
        <v>98</v>
      </c>
      <c r="D533" s="26">
        <v>73</v>
      </c>
      <c r="E533" s="26">
        <v>691</v>
      </c>
      <c r="F533" s="28" t="str">
        <f>PROPER(nutrition!$H533)</f>
        <v>Jagung Kuning Pipil Kering Mentah</v>
      </c>
      <c r="G533" s="26" t="str">
        <f>IF(nutrition!$B533&gt;300,"Tinggi Kalori",IF(nutrition!$B533&gt;100,"Kalori Sedang","Rendah Kalori"))</f>
        <v>Tinggi Kalori</v>
      </c>
      <c r="H533" s="27" t="s">
        <v>537</v>
      </c>
    </row>
    <row r="534" spans="1:8" x14ac:dyDescent="0.3">
      <c r="A534" s="21">
        <v>533</v>
      </c>
      <c r="B534" s="22">
        <v>355</v>
      </c>
      <c r="C534" s="22">
        <v>92</v>
      </c>
      <c r="D534" s="22">
        <v>39</v>
      </c>
      <c r="E534" s="22">
        <v>737</v>
      </c>
      <c r="F534" s="24" t="str">
        <f>PROPER(nutrition!$H534)</f>
        <v>Jagung Kuning Pipil Lama</v>
      </c>
      <c r="G534" s="22" t="str">
        <f>IF(nutrition!$B534&gt;300,"Tinggi Kalori",IF(nutrition!$B534&gt;100,"Kalori Sedang","Rendah Kalori"))</f>
        <v>Tinggi Kalori</v>
      </c>
      <c r="H534" s="23" t="s">
        <v>538</v>
      </c>
    </row>
    <row r="535" spans="1:8" x14ac:dyDescent="0.3">
      <c r="A535" s="25">
        <v>534</v>
      </c>
      <c r="B535" s="26">
        <v>154</v>
      </c>
      <c r="C535" s="26">
        <v>38</v>
      </c>
      <c r="D535" s="26">
        <v>35</v>
      </c>
      <c r="E535" s="26">
        <v>284</v>
      </c>
      <c r="F535" s="28" t="str">
        <f>PROPER(nutrition!$H535)</f>
        <v>Jagung Kuning Pipil Rebus</v>
      </c>
      <c r="G535" s="26" t="str">
        <f>IF(nutrition!$B535&gt;300,"Tinggi Kalori",IF(nutrition!$B535&gt;100,"Kalori Sedang","Rendah Kalori"))</f>
        <v>Kalori Sedang</v>
      </c>
      <c r="H535" s="27" t="s">
        <v>539</v>
      </c>
    </row>
    <row r="536" spans="1:8" x14ac:dyDescent="0.3">
      <c r="A536" s="21">
        <v>535</v>
      </c>
      <c r="B536" s="22">
        <v>140</v>
      </c>
      <c r="C536" s="22">
        <v>47</v>
      </c>
      <c r="D536" s="22">
        <v>13</v>
      </c>
      <c r="E536" s="22">
        <v>331</v>
      </c>
      <c r="F536" s="24" t="str">
        <f>PROPER(nutrition!$H536)</f>
        <v>Jagung Kuning Segar</v>
      </c>
      <c r="G536" s="22" t="str">
        <f>IF(nutrition!$B536&gt;300,"Tinggi Kalori",IF(nutrition!$B536&gt;100,"Kalori Sedang","Rendah Kalori"))</f>
        <v>Kalori Sedang</v>
      </c>
      <c r="H536" s="23" t="s">
        <v>540</v>
      </c>
    </row>
    <row r="537" spans="1:8" x14ac:dyDescent="0.3">
      <c r="A537" s="25">
        <v>536</v>
      </c>
      <c r="B537" s="26">
        <v>355</v>
      </c>
      <c r="C537" s="26">
        <v>92</v>
      </c>
      <c r="D537" s="26">
        <v>39</v>
      </c>
      <c r="E537" s="26">
        <v>737</v>
      </c>
      <c r="F537" s="28" t="str">
        <f>PROPER(nutrition!$H537)</f>
        <v>Jagung Kuning Tepung</v>
      </c>
      <c r="G537" s="26" t="str">
        <f>IF(nutrition!$B537&gt;300,"Tinggi Kalori",IF(nutrition!$B537&gt;100,"Kalori Sedang","Rendah Kalori"))</f>
        <v>Tinggi Kalori</v>
      </c>
      <c r="H537" s="27" t="s">
        <v>541</v>
      </c>
    </row>
    <row r="538" spans="1:8" x14ac:dyDescent="0.3">
      <c r="A538" s="21">
        <v>537</v>
      </c>
      <c r="B538" s="22">
        <v>35</v>
      </c>
      <c r="C538" s="22">
        <v>22</v>
      </c>
      <c r="D538" s="22">
        <v>1</v>
      </c>
      <c r="E538" s="22">
        <v>74</v>
      </c>
      <c r="F538" s="24" t="str">
        <f>PROPER(nutrition!$H538)</f>
        <v>Jagung Muda</v>
      </c>
      <c r="G538" s="22" t="str">
        <f>IF(nutrition!$B538&gt;300,"Tinggi Kalori",IF(nutrition!$B538&gt;100,"Kalori Sedang","Rendah Kalori"))</f>
        <v>Rendah Kalori</v>
      </c>
      <c r="H538" s="23" t="s">
        <v>542</v>
      </c>
    </row>
    <row r="539" spans="1:8" x14ac:dyDescent="0.3">
      <c r="A539" s="25">
        <v>538</v>
      </c>
      <c r="B539" s="26">
        <v>147</v>
      </c>
      <c r="C539" s="26">
        <v>51</v>
      </c>
      <c r="D539" s="26">
        <v>7</v>
      </c>
      <c r="E539" s="26">
        <v>315</v>
      </c>
      <c r="F539" s="28" t="str">
        <f>PROPER(nutrition!$H539)</f>
        <v>Jagung Muda Kuning Mentah</v>
      </c>
      <c r="G539" s="26" t="str">
        <f>IF(nutrition!$B539&gt;300,"Tinggi Kalori",IF(nutrition!$B539&gt;100,"Kalori Sedang","Rendah Kalori"))</f>
        <v>Kalori Sedang</v>
      </c>
      <c r="H539" s="27" t="s">
        <v>543</v>
      </c>
    </row>
    <row r="540" spans="1:8" x14ac:dyDescent="0.3">
      <c r="A540" s="21">
        <v>539</v>
      </c>
      <c r="B540" s="22">
        <v>142</v>
      </c>
      <c r="C540" s="22">
        <v>5</v>
      </c>
      <c r="D540" s="22">
        <v>7</v>
      </c>
      <c r="E540" s="22">
        <v>303</v>
      </c>
      <c r="F540" s="24" t="str">
        <f>PROPER(nutrition!$H540)</f>
        <v>Jagung Muda Rebus</v>
      </c>
      <c r="G540" s="22" t="str">
        <f>IF(nutrition!$B540&gt;300,"Tinggi Kalori",IF(nutrition!$B540&gt;100,"Kalori Sedang","Rendah Kalori"))</f>
        <v>Kalori Sedang</v>
      </c>
      <c r="H540" s="23" t="s">
        <v>544</v>
      </c>
    </row>
    <row r="541" spans="1:8" x14ac:dyDescent="0.3">
      <c r="A541" s="25">
        <v>540</v>
      </c>
      <c r="B541" s="26">
        <v>367</v>
      </c>
      <c r="C541" s="26">
        <v>62</v>
      </c>
      <c r="D541" s="26">
        <v>51</v>
      </c>
      <c r="E541" s="26">
        <v>762</v>
      </c>
      <c r="F541" s="28" t="str">
        <f>PROPER(nutrition!$H541)</f>
        <v>Jagung Pipil Var. Harapan Kering</v>
      </c>
      <c r="G541" s="26" t="str">
        <f>IF(nutrition!$B541&gt;300,"Tinggi Kalori",IF(nutrition!$B541&gt;100,"Kalori Sedang","Rendah Kalori"))</f>
        <v>Tinggi Kalori</v>
      </c>
      <c r="H541" s="27" t="s">
        <v>545</v>
      </c>
    </row>
    <row r="542" spans="1:8" x14ac:dyDescent="0.3">
      <c r="A542" s="21">
        <v>541</v>
      </c>
      <c r="B542" s="22">
        <v>368</v>
      </c>
      <c r="C542" s="22">
        <v>55</v>
      </c>
      <c r="D542" s="22">
        <v>46</v>
      </c>
      <c r="E542" s="22">
        <v>78</v>
      </c>
      <c r="F542" s="24" t="str">
        <f>PROPER(nutrition!$H542)</f>
        <v>Jagung Pipil Var. Metro Kering</v>
      </c>
      <c r="G542" s="22" t="str">
        <f>IF(nutrition!$B542&gt;300,"Tinggi Kalori",IF(nutrition!$B542&gt;100,"Kalori Sedang","Rendah Kalori"))</f>
        <v>Tinggi Kalori</v>
      </c>
      <c r="H542" s="23" t="s">
        <v>546</v>
      </c>
    </row>
    <row r="543" spans="1:8" x14ac:dyDescent="0.3">
      <c r="A543" s="25">
        <v>542</v>
      </c>
      <c r="B543" s="26">
        <v>361</v>
      </c>
      <c r="C543" s="26">
        <v>87</v>
      </c>
      <c r="D543" s="26">
        <v>45</v>
      </c>
      <c r="E543" s="26">
        <v>724</v>
      </c>
      <c r="F543" s="28" t="str">
        <f>PROPER(nutrition!$H543)</f>
        <v>Jagung Putih Giling</v>
      </c>
      <c r="G543" s="26" t="str">
        <f>IF(nutrition!$B543&gt;300,"Tinggi Kalori",IF(nutrition!$B543&gt;100,"Kalori Sedang","Rendah Kalori"))</f>
        <v>Tinggi Kalori</v>
      </c>
      <c r="H543" s="27" t="s">
        <v>547</v>
      </c>
    </row>
    <row r="544" spans="1:8" x14ac:dyDescent="0.3">
      <c r="A544" s="21">
        <v>543</v>
      </c>
      <c r="B544" s="22">
        <v>129</v>
      </c>
      <c r="C544" s="22">
        <v>41</v>
      </c>
      <c r="D544" s="22">
        <v>13</v>
      </c>
      <c r="E544" s="22">
        <v>303</v>
      </c>
      <c r="F544" s="24" t="str">
        <f>PROPER(nutrition!$H544)</f>
        <v>Jagung Putih Muda</v>
      </c>
      <c r="G544" s="22" t="str">
        <f>IF(nutrition!$B544&gt;300,"Tinggi Kalori",IF(nutrition!$B544&gt;100,"Kalori Sedang","Rendah Kalori"))</f>
        <v>Kalori Sedang</v>
      </c>
      <c r="H544" s="23" t="s">
        <v>548</v>
      </c>
    </row>
    <row r="545" spans="1:8" x14ac:dyDescent="0.3">
      <c r="A545" s="25">
        <v>544</v>
      </c>
      <c r="B545" s="26">
        <v>307</v>
      </c>
      <c r="C545" s="26">
        <v>79</v>
      </c>
      <c r="D545" s="26">
        <v>34</v>
      </c>
      <c r="E545" s="26">
        <v>636</v>
      </c>
      <c r="F545" s="28" t="str">
        <f>PROPER(nutrition!$H545)</f>
        <v>Jagung Putih Pipil Baru</v>
      </c>
      <c r="G545" s="26" t="str">
        <f>IF(nutrition!$B545&gt;300,"Tinggi Kalori",IF(nutrition!$B545&gt;100,"Kalori Sedang","Rendah Kalori"))</f>
        <v>Tinggi Kalori</v>
      </c>
      <c r="H545" s="27" t="s">
        <v>549</v>
      </c>
    </row>
    <row r="546" spans="1:8" x14ac:dyDescent="0.3">
      <c r="A546" s="21">
        <v>545</v>
      </c>
      <c r="B546" s="22">
        <v>355</v>
      </c>
      <c r="C546" s="22">
        <v>92</v>
      </c>
      <c r="D546" s="22">
        <v>39</v>
      </c>
      <c r="E546" s="22">
        <v>737</v>
      </c>
      <c r="F546" s="24" t="str">
        <f>PROPER(nutrition!$H546)</f>
        <v>Jagung Putih Pipil Lama</v>
      </c>
      <c r="G546" s="22" t="str">
        <f>IF(nutrition!$B546&gt;300,"Tinggi Kalori",IF(nutrition!$B546&gt;100,"Kalori Sedang","Rendah Kalori"))</f>
        <v>Tinggi Kalori</v>
      </c>
      <c r="H546" s="23" t="s">
        <v>550</v>
      </c>
    </row>
    <row r="547" spans="1:8" x14ac:dyDescent="0.3">
      <c r="A547" s="25">
        <v>546</v>
      </c>
      <c r="B547" s="26">
        <v>140</v>
      </c>
      <c r="C547" s="26">
        <v>47</v>
      </c>
      <c r="D547" s="26">
        <v>13</v>
      </c>
      <c r="E547" s="26">
        <v>331</v>
      </c>
      <c r="F547" s="28" t="str">
        <f>PROPER(nutrition!$H547)</f>
        <v>Jagung Putih Segar</v>
      </c>
      <c r="G547" s="26" t="str">
        <f>IF(nutrition!$B547&gt;300,"Tinggi Kalori",IF(nutrition!$B547&gt;100,"Kalori Sedang","Rendah Kalori"))</f>
        <v>Kalori Sedang</v>
      </c>
      <c r="H547" s="27" t="s">
        <v>551</v>
      </c>
    </row>
    <row r="548" spans="1:8" x14ac:dyDescent="0.3">
      <c r="A548" s="21">
        <v>547</v>
      </c>
      <c r="B548" s="22">
        <v>175</v>
      </c>
      <c r="C548" s="22">
        <v>18</v>
      </c>
      <c r="D548" s="22">
        <v>18</v>
      </c>
      <c r="E548" s="22">
        <v>35</v>
      </c>
      <c r="F548" s="24" t="str">
        <f>PROPER(nutrition!$H548)</f>
        <v xml:space="preserve">Jagung Rebus </v>
      </c>
      <c r="G548" s="22" t="str">
        <f>IF(nutrition!$B548&gt;300,"Tinggi Kalori",IF(nutrition!$B548&gt;100,"Kalori Sedang","Rendah Kalori"))</f>
        <v>Kalori Sedang</v>
      </c>
      <c r="H548" s="23" t="s">
        <v>552</v>
      </c>
    </row>
    <row r="549" spans="1:8" x14ac:dyDescent="0.3">
      <c r="A549" s="25">
        <v>548</v>
      </c>
      <c r="B549" s="26">
        <v>1489</v>
      </c>
      <c r="C549" s="26">
        <v>104</v>
      </c>
      <c r="D549" s="26">
        <v>104</v>
      </c>
      <c r="E549" s="26">
        <v>201</v>
      </c>
      <c r="F549" s="28" t="str">
        <f>PROPER(nutrition!$H549)</f>
        <v xml:space="preserve">Jagung Sayur (Tumis) </v>
      </c>
      <c r="G549" s="26" t="str">
        <f>IF(nutrition!$B549&gt;300,"Tinggi Kalori",IF(nutrition!$B549&gt;100,"Kalori Sedang","Rendah Kalori"))</f>
        <v>Tinggi Kalori</v>
      </c>
      <c r="H549" s="27" t="s">
        <v>553</v>
      </c>
    </row>
    <row r="550" spans="1:8" x14ac:dyDescent="0.3">
      <c r="A550" s="21">
        <v>549</v>
      </c>
      <c r="B550" s="22">
        <v>374</v>
      </c>
      <c r="C550" s="22">
        <v>94</v>
      </c>
      <c r="D550" s="22">
        <v>22</v>
      </c>
      <c r="E550" s="22">
        <v>791</v>
      </c>
      <c r="F550" s="24" t="str">
        <f>PROPER(nutrition!$H550)</f>
        <v>Jagung Titi</v>
      </c>
      <c r="G550" s="22" t="str">
        <f>IF(nutrition!$B550&gt;300,"Tinggi Kalori",IF(nutrition!$B550&gt;100,"Kalori Sedang","Rendah Kalori"))</f>
        <v>Tinggi Kalori</v>
      </c>
      <c r="H550" s="23" t="s">
        <v>554</v>
      </c>
    </row>
    <row r="551" spans="1:8" x14ac:dyDescent="0.3">
      <c r="A551" s="25">
        <v>550</v>
      </c>
      <c r="B551" s="26">
        <v>51</v>
      </c>
      <c r="C551" s="26">
        <v>15</v>
      </c>
      <c r="D551" s="26">
        <v>1</v>
      </c>
      <c r="E551" s="26">
        <v>101</v>
      </c>
      <c r="F551" s="28" t="str">
        <f>PROPER(nutrition!$H551)</f>
        <v>Jahe</v>
      </c>
      <c r="G551" s="26" t="str">
        <f>IF(nutrition!$B551&gt;300,"Tinggi Kalori",IF(nutrition!$B551&gt;100,"Kalori Sedang","Rendah Kalori"))</f>
        <v>Rendah Kalori</v>
      </c>
      <c r="H551" s="27" t="s">
        <v>555</v>
      </c>
    </row>
    <row r="552" spans="1:8" x14ac:dyDescent="0.3">
      <c r="A552" s="21">
        <v>551</v>
      </c>
      <c r="B552" s="22">
        <v>289</v>
      </c>
      <c r="C552" s="22">
        <v>11</v>
      </c>
      <c r="D552" s="22">
        <v>4</v>
      </c>
      <c r="E552" s="22">
        <v>61</v>
      </c>
      <c r="F552" s="24" t="str">
        <f>PROPER(nutrition!$H552)</f>
        <v>Jali</v>
      </c>
      <c r="G552" s="22" t="str">
        <f>IF(nutrition!$B552&gt;300,"Tinggi Kalori",IF(nutrition!$B552&gt;100,"Kalori Sedang","Rendah Kalori"))</f>
        <v>Kalori Sedang</v>
      </c>
      <c r="H552" s="23" t="s">
        <v>556</v>
      </c>
    </row>
    <row r="553" spans="1:8" x14ac:dyDescent="0.3">
      <c r="A553" s="25">
        <v>552</v>
      </c>
      <c r="B553" s="26">
        <v>239</v>
      </c>
      <c r="C553" s="26">
        <v>5</v>
      </c>
      <c r="D553" s="26">
        <v>6</v>
      </c>
      <c r="E553" s="26">
        <v>645</v>
      </c>
      <c r="F553" s="28" t="str">
        <f>PROPER(nutrition!$H553)</f>
        <v>Jam Selai</v>
      </c>
      <c r="G553" s="26" t="str">
        <f>IF(nutrition!$B553&gt;300,"Tinggi Kalori",IF(nutrition!$B553&gt;100,"Kalori Sedang","Rendah Kalori"))</f>
        <v>Kalori Sedang</v>
      </c>
      <c r="H553" s="27" t="s">
        <v>557</v>
      </c>
    </row>
    <row r="554" spans="1:8" x14ac:dyDescent="0.3">
      <c r="A554" s="21">
        <v>553</v>
      </c>
      <c r="B554" s="22">
        <v>286</v>
      </c>
      <c r="C554" s="22">
        <v>485</v>
      </c>
      <c r="D554" s="22">
        <v>92</v>
      </c>
      <c r="E554" s="22">
        <v>23</v>
      </c>
      <c r="F554" s="24" t="str">
        <f>PROPER(nutrition!$H554)</f>
        <v>Jambal Goreng</v>
      </c>
      <c r="G554" s="22" t="str">
        <f>IF(nutrition!$B554&gt;300,"Tinggi Kalori",IF(nutrition!$B554&gt;100,"Kalori Sedang","Rendah Kalori"))</f>
        <v>Kalori Sedang</v>
      </c>
      <c r="H554" s="23" t="s">
        <v>558</v>
      </c>
    </row>
    <row r="555" spans="1:8" x14ac:dyDescent="0.3">
      <c r="A555" s="25">
        <v>554</v>
      </c>
      <c r="B555" s="26">
        <v>46</v>
      </c>
      <c r="C555" s="26">
        <v>6</v>
      </c>
      <c r="D555" s="26">
        <v>0</v>
      </c>
      <c r="E555" s="26">
        <v>118</v>
      </c>
      <c r="F555" s="28" t="str">
        <f>PROPER(nutrition!$H555)</f>
        <v>Jambu Air</v>
      </c>
      <c r="G555" s="26" t="str">
        <f>IF(nutrition!$B555&gt;300,"Tinggi Kalori",IF(nutrition!$B555&gt;100,"Kalori Sedang","Rendah Kalori"))</f>
        <v>Rendah Kalori</v>
      </c>
      <c r="H555" s="27" t="s">
        <v>559</v>
      </c>
    </row>
    <row r="556" spans="1:8" x14ac:dyDescent="0.3">
      <c r="A556" s="21">
        <v>555</v>
      </c>
      <c r="B556" s="22">
        <v>49</v>
      </c>
      <c r="C556" s="22">
        <v>9</v>
      </c>
      <c r="D556" s="22">
        <v>3</v>
      </c>
      <c r="E556" s="22">
        <v>122</v>
      </c>
      <c r="F556" s="24" t="str">
        <f>PROPER(nutrition!$H556)</f>
        <v>Jambu Biji</v>
      </c>
      <c r="G556" s="22" t="str">
        <f>IF(nutrition!$B556&gt;300,"Tinggi Kalori",IF(nutrition!$B556&gt;100,"Kalori Sedang","Rendah Kalori"))</f>
        <v>Rendah Kalori</v>
      </c>
      <c r="H556" s="23" t="s">
        <v>560</v>
      </c>
    </row>
    <row r="557" spans="1:8" x14ac:dyDescent="0.3">
      <c r="A557" s="25">
        <v>556</v>
      </c>
      <c r="B557" s="26">
        <v>61</v>
      </c>
      <c r="C557" s="26">
        <v>9</v>
      </c>
      <c r="D557" s="26">
        <v>3</v>
      </c>
      <c r="E557" s="26">
        <v>154</v>
      </c>
      <c r="F557" s="28" t="str">
        <f>PROPER(nutrition!$H557)</f>
        <v>Jambu Biji Putih Tidak Berbiji</v>
      </c>
      <c r="G557" s="26" t="str">
        <f>IF(nutrition!$B557&gt;300,"Tinggi Kalori",IF(nutrition!$B557&gt;100,"Kalori Sedang","Rendah Kalori"))</f>
        <v>Rendah Kalori</v>
      </c>
      <c r="H557" s="27" t="s">
        <v>561</v>
      </c>
    </row>
    <row r="558" spans="1:8" x14ac:dyDescent="0.3">
      <c r="A558" s="21">
        <v>557</v>
      </c>
      <c r="B558" s="22">
        <v>56</v>
      </c>
      <c r="C558" s="22">
        <v>6</v>
      </c>
      <c r="D558" s="22">
        <v>3</v>
      </c>
      <c r="E558" s="22">
        <v>142</v>
      </c>
      <c r="F558" s="24" t="str">
        <f>PROPER(nutrition!$H558)</f>
        <v>Jambu Bol</v>
      </c>
      <c r="G558" s="22" t="str">
        <f>IF(nutrition!$B558&gt;300,"Tinggi Kalori",IF(nutrition!$B558&gt;100,"Kalori Sedang","Rendah Kalori"))</f>
        <v>Rendah Kalori</v>
      </c>
      <c r="H558" s="23" t="s">
        <v>562</v>
      </c>
    </row>
    <row r="559" spans="1:8" x14ac:dyDescent="0.3">
      <c r="A559" s="25">
        <v>558</v>
      </c>
      <c r="B559" s="26">
        <v>64</v>
      </c>
      <c r="C559" s="26">
        <v>7</v>
      </c>
      <c r="D559" s="26">
        <v>6</v>
      </c>
      <c r="E559" s="26">
        <v>158</v>
      </c>
      <c r="F559" s="28" t="str">
        <f>PROPER(nutrition!$H559)</f>
        <v>Jambu Monyet Buah</v>
      </c>
      <c r="G559" s="26" t="str">
        <f>IF(nutrition!$B559&gt;300,"Tinggi Kalori",IF(nutrition!$B559&gt;100,"Kalori Sedang","Rendah Kalori"))</f>
        <v>Rendah Kalori</v>
      </c>
      <c r="H559" s="27" t="s">
        <v>563</v>
      </c>
    </row>
    <row r="560" spans="1:8" x14ac:dyDescent="0.3">
      <c r="A560" s="21">
        <v>559</v>
      </c>
      <c r="B560" s="22">
        <v>350</v>
      </c>
      <c r="C560" s="22">
        <v>62</v>
      </c>
      <c r="D560" s="22">
        <v>14</v>
      </c>
      <c r="E560" s="22">
        <v>782</v>
      </c>
      <c r="F560" s="24" t="str">
        <f>PROPER(nutrition!$H560)</f>
        <v>Jampang Huma Mentah</v>
      </c>
      <c r="G560" s="22" t="str">
        <f>IF(nutrition!$B560&gt;300,"Tinggi Kalori",IF(nutrition!$B560&gt;100,"Kalori Sedang","Rendah Kalori"))</f>
        <v>Tinggi Kalori</v>
      </c>
      <c r="H560" s="23" t="s">
        <v>564</v>
      </c>
    </row>
    <row r="561" spans="1:8" x14ac:dyDescent="0.3">
      <c r="A561" s="25">
        <v>560</v>
      </c>
      <c r="B561" s="26">
        <v>45</v>
      </c>
      <c r="C561" s="26">
        <v>25</v>
      </c>
      <c r="D561" s="26">
        <v>39</v>
      </c>
      <c r="E561" s="26">
        <v>0</v>
      </c>
      <c r="F561" s="28" t="str">
        <f>PROPER(nutrition!$H561)</f>
        <v>Jamur Coklat (Kulat Siau)</v>
      </c>
      <c r="G561" s="26" t="str">
        <f>IF(nutrition!$B561&gt;300,"Tinggi Kalori",IF(nutrition!$B561&gt;100,"Kalori Sedang","Rendah Kalori"))</f>
        <v>Rendah Kalori</v>
      </c>
      <c r="H561" s="27" t="s">
        <v>565</v>
      </c>
    </row>
    <row r="562" spans="1:8" x14ac:dyDescent="0.3">
      <c r="A562" s="21">
        <v>561</v>
      </c>
      <c r="B562" s="22">
        <v>296</v>
      </c>
      <c r="C562" s="22">
        <v>94</v>
      </c>
      <c r="D562" s="22">
        <v>11</v>
      </c>
      <c r="E562" s="22">
        <v>62</v>
      </c>
      <c r="F562" s="24" t="str">
        <f>PROPER(nutrition!$H562)</f>
        <v>Jamur Encik</v>
      </c>
      <c r="G562" s="22" t="str">
        <f>IF(nutrition!$B562&gt;300,"Tinggi Kalori",IF(nutrition!$B562&gt;100,"Kalori Sedang","Rendah Kalori"))</f>
        <v>Kalori Sedang</v>
      </c>
      <c r="H562" s="23" t="s">
        <v>566</v>
      </c>
    </row>
    <row r="563" spans="1:8" x14ac:dyDescent="0.3">
      <c r="A563" s="25">
        <v>562</v>
      </c>
      <c r="B563" s="26">
        <v>294</v>
      </c>
      <c r="C563" s="26">
        <v>16</v>
      </c>
      <c r="D563" s="26">
        <v>9</v>
      </c>
      <c r="E563" s="26">
        <v>646</v>
      </c>
      <c r="F563" s="28" t="str">
        <f>PROPER(nutrition!$H563)</f>
        <v>Jamur Kuping Kering</v>
      </c>
      <c r="G563" s="26" t="str">
        <f>IF(nutrition!$B563&gt;300,"Tinggi Kalori",IF(nutrition!$B563&gt;100,"Kalori Sedang","Rendah Kalori"))</f>
        <v>Kalori Sedang</v>
      </c>
      <c r="H563" s="27" t="s">
        <v>567</v>
      </c>
    </row>
    <row r="564" spans="1:8" x14ac:dyDescent="0.3">
      <c r="A564" s="21">
        <v>563</v>
      </c>
      <c r="B564" s="22">
        <v>21</v>
      </c>
      <c r="C564" s="22">
        <v>38</v>
      </c>
      <c r="D564" s="22">
        <v>6</v>
      </c>
      <c r="E564" s="22">
        <v>9</v>
      </c>
      <c r="F564" s="24" t="str">
        <f>PROPER(nutrition!$H564)</f>
        <v>Jamur Kuping Segar</v>
      </c>
      <c r="G564" s="22" t="str">
        <f>IF(nutrition!$B564&gt;300,"Tinggi Kalori",IF(nutrition!$B564&gt;100,"Kalori Sedang","Rendah Kalori"))</f>
        <v>Rendah Kalori</v>
      </c>
      <c r="H564" s="23" t="s">
        <v>568</v>
      </c>
    </row>
    <row r="565" spans="1:8" x14ac:dyDescent="0.3">
      <c r="A565" s="25">
        <v>564</v>
      </c>
      <c r="B565" s="26">
        <v>30</v>
      </c>
      <c r="C565" s="26">
        <v>35</v>
      </c>
      <c r="D565" s="26">
        <v>2</v>
      </c>
      <c r="E565" s="26">
        <v>4</v>
      </c>
      <c r="F565" s="28" t="str">
        <f>PROPER(nutrition!$H565)</f>
        <v>Jamur Merang Segar</v>
      </c>
      <c r="G565" s="26" t="str">
        <f>IF(nutrition!$B565&gt;300,"Tinggi Kalori",IF(nutrition!$B565&gt;100,"Kalori Sedang","Rendah Kalori"))</f>
        <v>Rendah Kalori</v>
      </c>
      <c r="H565" s="27" t="s">
        <v>569</v>
      </c>
    </row>
    <row r="566" spans="1:8" x14ac:dyDescent="0.3">
      <c r="A566" s="21">
        <v>565</v>
      </c>
      <c r="B566" s="22">
        <v>48</v>
      </c>
      <c r="C566" s="22">
        <v>28</v>
      </c>
      <c r="D566" s="22">
        <v>41</v>
      </c>
      <c r="E566" s="22">
        <v>29</v>
      </c>
      <c r="F566" s="24" t="str">
        <f>PROPER(nutrition!$H566)</f>
        <v>Jamur Putih (Kulat Putih)</v>
      </c>
      <c r="G566" s="22" t="str">
        <f>IF(nutrition!$B566&gt;300,"Tinggi Kalori",IF(nutrition!$B566&gt;100,"Kalori Sedang","Rendah Kalori"))</f>
        <v>Rendah Kalori</v>
      </c>
      <c r="H566" s="23" t="s">
        <v>570</v>
      </c>
    </row>
    <row r="567" spans="1:8" x14ac:dyDescent="0.3">
      <c r="A567" s="25">
        <v>566</v>
      </c>
      <c r="B567" s="26">
        <v>48</v>
      </c>
      <c r="C567" s="26">
        <v>19</v>
      </c>
      <c r="D567" s="26">
        <v>32</v>
      </c>
      <c r="E567" s="26">
        <v>28</v>
      </c>
      <c r="F567" s="28" t="str">
        <f>PROPER(nutrition!$H567)</f>
        <v>Jamur Sagu</v>
      </c>
      <c r="G567" s="26" t="str">
        <f>IF(nutrition!$B567&gt;300,"Tinggi Kalori",IF(nutrition!$B567&gt;100,"Kalori Sedang","Rendah Kalori"))</f>
        <v>Rendah Kalori</v>
      </c>
      <c r="H567" s="27" t="s">
        <v>571</v>
      </c>
    </row>
    <row r="568" spans="1:8" x14ac:dyDescent="0.3">
      <c r="A568" s="21">
        <v>567</v>
      </c>
      <c r="B568" s="22">
        <v>30</v>
      </c>
      <c r="C568" s="22">
        <v>19</v>
      </c>
      <c r="D568" s="22">
        <v>1</v>
      </c>
      <c r="E568" s="22">
        <v>55</v>
      </c>
      <c r="F568" s="24" t="str">
        <f>PROPER(nutrition!$H568)</f>
        <v>Jamur Tiram Segar</v>
      </c>
      <c r="G568" s="22" t="str">
        <f>IF(nutrition!$B568&gt;300,"Tinggi Kalori",IF(nutrition!$B568&gt;100,"Kalori Sedang","Rendah Kalori"))</f>
        <v>Rendah Kalori</v>
      </c>
      <c r="H568" s="23" t="s">
        <v>572</v>
      </c>
    </row>
    <row r="569" spans="1:8" x14ac:dyDescent="0.3">
      <c r="A569" s="25">
        <v>568</v>
      </c>
      <c r="B569" s="26">
        <v>107</v>
      </c>
      <c r="C569" s="26">
        <v>53</v>
      </c>
      <c r="D569" s="26">
        <v>22</v>
      </c>
      <c r="E569" s="26">
        <v>165</v>
      </c>
      <c r="F569" s="28" t="str">
        <f>PROPER(nutrition!$H569)</f>
        <v>Jangang Bintatoeng Masakan</v>
      </c>
      <c r="G569" s="26" t="str">
        <f>IF(nutrition!$B569&gt;300,"Tinggi Kalori",IF(nutrition!$B569&gt;100,"Kalori Sedang","Rendah Kalori"))</f>
        <v>Kalori Sedang</v>
      </c>
      <c r="H569" s="27" t="s">
        <v>573</v>
      </c>
    </row>
    <row r="570" spans="1:8" x14ac:dyDescent="0.3">
      <c r="A570" s="21">
        <v>569</v>
      </c>
      <c r="B570" s="22">
        <v>31</v>
      </c>
      <c r="C570" s="22">
        <v>12</v>
      </c>
      <c r="D570" s="22">
        <v>3</v>
      </c>
      <c r="E570" s="22">
        <v>71</v>
      </c>
      <c r="F570" s="24" t="str">
        <f>PROPER(nutrition!$H570)</f>
        <v>Jantung Pisang Segar</v>
      </c>
      <c r="G570" s="22" t="str">
        <f>IF(nutrition!$B570&gt;300,"Tinggi Kalori",IF(nutrition!$B570&gt;100,"Kalori Sedang","Rendah Kalori"))</f>
        <v>Rendah Kalori</v>
      </c>
      <c r="H570" s="23" t="s">
        <v>574</v>
      </c>
    </row>
    <row r="571" spans="1:8" x14ac:dyDescent="0.3">
      <c r="A571" s="25">
        <v>570</v>
      </c>
      <c r="B571" s="26">
        <v>500</v>
      </c>
      <c r="C571" s="26">
        <v>12</v>
      </c>
      <c r="D571" s="26">
        <v>251</v>
      </c>
      <c r="E571" s="26">
        <v>673</v>
      </c>
      <c r="F571" s="28" t="str">
        <f>PROPER(nutrition!$H571)</f>
        <v>Japilus</v>
      </c>
      <c r="G571" s="26" t="str">
        <f>IF(nutrition!$B571&gt;300,"Tinggi Kalori",IF(nutrition!$B571&gt;100,"Kalori Sedang","Rendah Kalori"))</f>
        <v>Tinggi Kalori</v>
      </c>
      <c r="H571" s="27" t="s">
        <v>575</v>
      </c>
    </row>
    <row r="572" spans="1:8" x14ac:dyDescent="0.3">
      <c r="A572" s="21">
        <v>571</v>
      </c>
      <c r="B572" s="22">
        <v>48</v>
      </c>
      <c r="C572" s="22">
        <v>25</v>
      </c>
      <c r="D572" s="22">
        <v>42</v>
      </c>
      <c r="E572" s="22">
        <v>0</v>
      </c>
      <c r="F572" s="24" t="str">
        <f>PROPER(nutrition!$H572)</f>
        <v>Jaruk Tigarun</v>
      </c>
      <c r="G572" s="22" t="str">
        <f>IF(nutrition!$B572&gt;300,"Tinggi Kalori",IF(nutrition!$B572&gt;100,"Kalori Sedang","Rendah Kalori"))</f>
        <v>Rendah Kalori</v>
      </c>
      <c r="H572" s="23" t="s">
        <v>576</v>
      </c>
    </row>
    <row r="573" spans="1:8" x14ac:dyDescent="0.3">
      <c r="A573" s="25">
        <v>572</v>
      </c>
      <c r="B573" s="26">
        <v>334</v>
      </c>
      <c r="C573" s="26">
        <v>97</v>
      </c>
      <c r="D573" s="26">
        <v>35</v>
      </c>
      <c r="E573" s="26">
        <v>734</v>
      </c>
      <c r="F573" s="28" t="str">
        <f>PROPER(nutrition!$H573)</f>
        <v>Jawawut</v>
      </c>
      <c r="G573" s="26" t="str">
        <f>IF(nutrition!$B573&gt;300,"Tinggi Kalori",IF(nutrition!$B573&gt;100,"Kalori Sedang","Rendah Kalori"))</f>
        <v>Tinggi Kalori</v>
      </c>
      <c r="H573" s="27" t="s">
        <v>577</v>
      </c>
    </row>
    <row r="574" spans="1:8" x14ac:dyDescent="0.3">
      <c r="A574" s="21">
        <v>573</v>
      </c>
      <c r="B574" s="22">
        <v>3817</v>
      </c>
      <c r="C574" s="22">
        <v>95</v>
      </c>
      <c r="D574" s="22">
        <v>95</v>
      </c>
      <c r="E574" s="22">
        <v>658</v>
      </c>
      <c r="F574" s="24" t="str">
        <f>PROPER(nutrition!$H574)</f>
        <v xml:space="preserve">Jenang </v>
      </c>
      <c r="G574" s="22" t="str">
        <f>IF(nutrition!$B574&gt;300,"Tinggi Kalori",IF(nutrition!$B574&gt;100,"Kalori Sedang","Rendah Kalori"))</f>
        <v>Tinggi Kalori</v>
      </c>
      <c r="H574" s="23" t="s">
        <v>578</v>
      </c>
    </row>
    <row r="575" spans="1:8" x14ac:dyDescent="0.3">
      <c r="A575" s="25">
        <v>574</v>
      </c>
      <c r="B575" s="26">
        <v>192</v>
      </c>
      <c r="C575" s="26">
        <v>54</v>
      </c>
      <c r="D575" s="26">
        <v>3</v>
      </c>
      <c r="E575" s="26">
        <v>407</v>
      </c>
      <c r="F575" s="28" t="str">
        <f>PROPER(nutrition!$H575)</f>
        <v>Jengkol Segar</v>
      </c>
      <c r="G575" s="26" t="str">
        <f>IF(nutrition!$B575&gt;300,"Tinggi Kalori",IF(nutrition!$B575&gt;100,"Kalori Sedang","Rendah Kalori"))</f>
        <v>Kalori Sedang</v>
      </c>
      <c r="H575" s="27" t="s">
        <v>579</v>
      </c>
    </row>
    <row r="576" spans="1:8" x14ac:dyDescent="0.3">
      <c r="A576" s="21">
        <v>575</v>
      </c>
      <c r="B576" s="22">
        <v>48</v>
      </c>
      <c r="C576" s="22">
        <v>6</v>
      </c>
      <c r="D576" s="22">
        <v>2</v>
      </c>
      <c r="E576" s="22">
        <v>124</v>
      </c>
      <c r="F576" s="24" t="str">
        <f>PROPER(nutrition!$H576)</f>
        <v>Jeruk Bali</v>
      </c>
      <c r="G576" s="22" t="str">
        <f>IF(nutrition!$B576&gt;300,"Tinggi Kalori",IF(nutrition!$B576&gt;100,"Kalori Sedang","Rendah Kalori"))</f>
        <v>Rendah Kalori</v>
      </c>
      <c r="H576" s="23" t="s">
        <v>580</v>
      </c>
    </row>
    <row r="577" spans="1:8" x14ac:dyDescent="0.3">
      <c r="A577" s="25">
        <v>576</v>
      </c>
      <c r="B577" s="26">
        <v>61</v>
      </c>
      <c r="C577" s="26">
        <v>8</v>
      </c>
      <c r="D577" s="26">
        <v>2</v>
      </c>
      <c r="E577" s="26">
        <v>141</v>
      </c>
      <c r="F577" s="28" t="str">
        <f>PROPER(nutrition!$H577)</f>
        <v>Jeruk Banjar Segar</v>
      </c>
      <c r="G577" s="26" t="str">
        <f>IF(nutrition!$B577&gt;300,"Tinggi Kalori",IF(nutrition!$B577&gt;100,"Kalori Sedang","Rendah Kalori"))</f>
        <v>Rendah Kalori</v>
      </c>
      <c r="H577" s="27" t="s">
        <v>581</v>
      </c>
    </row>
    <row r="578" spans="1:8" x14ac:dyDescent="0.3">
      <c r="A578" s="21">
        <v>577</v>
      </c>
      <c r="B578" s="22">
        <v>44</v>
      </c>
      <c r="C578" s="22">
        <v>8</v>
      </c>
      <c r="D578" s="22">
        <v>3</v>
      </c>
      <c r="E578" s="22">
        <v>109</v>
      </c>
      <c r="F578" s="24" t="str">
        <f>PROPER(nutrition!$H578)</f>
        <v>Jeruk Garut</v>
      </c>
      <c r="G578" s="22" t="str">
        <f>IF(nutrition!$B578&gt;300,"Tinggi Kalori",IF(nutrition!$B578&gt;100,"Kalori Sedang","Rendah Kalori"))</f>
        <v>Rendah Kalori</v>
      </c>
      <c r="H578" s="23" t="s">
        <v>582</v>
      </c>
    </row>
    <row r="579" spans="1:8" x14ac:dyDescent="0.3">
      <c r="A579" s="25">
        <v>578</v>
      </c>
      <c r="B579" s="26">
        <v>39</v>
      </c>
      <c r="C579" s="26">
        <v>3</v>
      </c>
      <c r="D579" s="26">
        <v>3</v>
      </c>
      <c r="E579" s="26">
        <v>89</v>
      </c>
      <c r="F579" s="28" t="str">
        <f>PROPER(nutrition!$H579)</f>
        <v>Jeruk Kalamansi Segar</v>
      </c>
      <c r="G579" s="26" t="str">
        <f>IF(nutrition!$B579&gt;300,"Tinggi Kalori",IF(nutrition!$B579&gt;100,"Kalori Sedang","Rendah Kalori"))</f>
        <v>Rendah Kalori</v>
      </c>
      <c r="H579" s="27" t="s">
        <v>583</v>
      </c>
    </row>
    <row r="580" spans="1:8" x14ac:dyDescent="0.3">
      <c r="A580" s="21">
        <v>579</v>
      </c>
      <c r="B580" s="22">
        <v>45</v>
      </c>
      <c r="C580" s="22">
        <v>9</v>
      </c>
      <c r="D580" s="22">
        <v>2</v>
      </c>
      <c r="E580" s="22">
        <v>112</v>
      </c>
      <c r="F580" s="24" t="str">
        <f>PROPER(nutrition!$H580)</f>
        <v>Jeruk Manis</v>
      </c>
      <c r="G580" s="22" t="str">
        <f>IF(nutrition!$B580&gt;300,"Tinggi Kalori",IF(nutrition!$B580&gt;100,"Kalori Sedang","Rendah Kalori"))</f>
        <v>Rendah Kalori</v>
      </c>
      <c r="H580" s="23" t="s">
        <v>584</v>
      </c>
    </row>
    <row r="581" spans="1:8" x14ac:dyDescent="0.3">
      <c r="A581" s="25">
        <v>580</v>
      </c>
      <c r="B581" s="26">
        <v>37</v>
      </c>
      <c r="C581" s="26">
        <v>8</v>
      </c>
      <c r="D581" s="26">
        <v>1</v>
      </c>
      <c r="E581" s="26">
        <v>123</v>
      </c>
      <c r="F581" s="28" t="str">
        <f>PROPER(nutrition!$H581)</f>
        <v>Jeruk Nipis</v>
      </c>
      <c r="G581" s="26" t="str">
        <f>IF(nutrition!$B581&gt;300,"Tinggi Kalori",IF(nutrition!$B581&gt;100,"Kalori Sedang","Rendah Kalori"))</f>
        <v>Rendah Kalori</v>
      </c>
      <c r="H581" s="27" t="s">
        <v>585</v>
      </c>
    </row>
    <row r="582" spans="1:8" x14ac:dyDescent="0.3">
      <c r="A582" s="21">
        <v>581</v>
      </c>
      <c r="B582" s="22">
        <v>49</v>
      </c>
      <c r="C582" s="22">
        <v>7</v>
      </c>
      <c r="D582" s="22">
        <v>2</v>
      </c>
      <c r="E582" s="22">
        <v>111</v>
      </c>
      <c r="F582" s="24" t="str">
        <f>PROPER(nutrition!$H582)</f>
        <v>Jeruk Ragi Segar</v>
      </c>
      <c r="G582" s="22" t="str">
        <f>IF(nutrition!$B582&gt;300,"Tinggi Kalori",IF(nutrition!$B582&gt;100,"Kalori Sedang","Rendah Kalori"))</f>
        <v>Rendah Kalori</v>
      </c>
      <c r="H582" s="23" t="s">
        <v>586</v>
      </c>
    </row>
    <row r="583" spans="1:8" x14ac:dyDescent="0.3">
      <c r="A583" s="25">
        <v>582</v>
      </c>
      <c r="B583" s="26">
        <v>32</v>
      </c>
      <c r="C583" s="26">
        <v>19</v>
      </c>
      <c r="D583" s="26">
        <v>3</v>
      </c>
      <c r="E583" s="26">
        <v>71</v>
      </c>
      <c r="F583" s="28" t="str">
        <f>PROPER(nutrition!$H583)</f>
        <v>Jotang</v>
      </c>
      <c r="G583" s="26" t="str">
        <f>IF(nutrition!$B583&gt;300,"Tinggi Kalori",IF(nutrition!$B583&gt;100,"Kalori Sedang","Rendah Kalori"))</f>
        <v>Rendah Kalori</v>
      </c>
      <c r="H583" s="27" t="s">
        <v>587</v>
      </c>
    </row>
    <row r="584" spans="1:8" x14ac:dyDescent="0.3">
      <c r="A584" s="21">
        <v>583</v>
      </c>
      <c r="B584" s="22">
        <v>15</v>
      </c>
      <c r="C584" s="22">
        <v>152</v>
      </c>
      <c r="D584" s="22">
        <v>43</v>
      </c>
      <c r="E584" s="22">
        <v>88</v>
      </c>
      <c r="F584" s="24" t="str">
        <f>PROPER(nutrition!$H584)</f>
        <v>Jukku Pallu Kaloa Masakan</v>
      </c>
      <c r="G584" s="22" t="str">
        <f>IF(nutrition!$B584&gt;300,"Tinggi Kalori",IF(nutrition!$B584&gt;100,"Kalori Sedang","Rendah Kalori"))</f>
        <v>Rendah Kalori</v>
      </c>
      <c r="H584" s="23" t="s">
        <v>588</v>
      </c>
    </row>
    <row r="585" spans="1:8" x14ac:dyDescent="0.3">
      <c r="A585" s="25">
        <v>584</v>
      </c>
      <c r="B585" s="26">
        <v>130</v>
      </c>
      <c r="C585" s="26">
        <v>67</v>
      </c>
      <c r="D585" s="26">
        <v>3</v>
      </c>
      <c r="E585" s="26">
        <v>252</v>
      </c>
      <c r="F585" s="28" t="str">
        <f>PROPER(nutrition!$H585)</f>
        <v>Kabau Segar</v>
      </c>
      <c r="G585" s="26" t="str">
        <f>IF(nutrition!$B585&gt;300,"Tinggi Kalori",IF(nutrition!$B585&gt;100,"Kalori Sedang","Rendah Kalori"))</f>
        <v>Kalori Sedang</v>
      </c>
      <c r="H585" s="27" t="s">
        <v>589</v>
      </c>
    </row>
    <row r="586" spans="1:8" x14ac:dyDescent="0.3">
      <c r="A586" s="21">
        <v>585</v>
      </c>
      <c r="B586" s="22">
        <v>133</v>
      </c>
      <c r="C586" s="22">
        <v>1</v>
      </c>
      <c r="D586" s="22">
        <v>2</v>
      </c>
      <c r="E586" s="22">
        <v>322</v>
      </c>
      <c r="F586" s="24" t="str">
        <f>PROPER(nutrition!$H586)</f>
        <v>Kaburan Ubi Segar</v>
      </c>
      <c r="G586" s="22" t="str">
        <f>IF(nutrition!$B586&gt;300,"Tinggi Kalori",IF(nutrition!$B586&gt;100,"Kalori Sedang","Rendah Kalori"))</f>
        <v>Kalori Sedang</v>
      </c>
      <c r="H586" s="23" t="s">
        <v>590</v>
      </c>
    </row>
    <row r="587" spans="1:8" x14ac:dyDescent="0.3">
      <c r="A587" s="25">
        <v>586</v>
      </c>
      <c r="B587" s="26">
        <v>250</v>
      </c>
      <c r="C587" s="26">
        <v>26</v>
      </c>
      <c r="D587" s="26">
        <v>25</v>
      </c>
      <c r="E587" s="26">
        <v>354</v>
      </c>
      <c r="F587" s="28" t="str">
        <f>PROPER(nutrition!$H587)</f>
        <v>Kabuto</v>
      </c>
      <c r="G587" s="26" t="str">
        <f>IF(nutrition!$B587&gt;300,"Tinggi Kalori",IF(nutrition!$B587&gt;100,"Kalori Sedang","Rendah Kalori"))</f>
        <v>Kalori Sedang</v>
      </c>
      <c r="H587" s="27" t="s">
        <v>591</v>
      </c>
    </row>
    <row r="588" spans="1:8" x14ac:dyDescent="0.3">
      <c r="A588" s="21">
        <v>587</v>
      </c>
      <c r="B588" s="22">
        <v>356</v>
      </c>
      <c r="C588" s="22">
        <v>205</v>
      </c>
      <c r="D588" s="22">
        <v>41</v>
      </c>
      <c r="E588" s="22">
        <v>616</v>
      </c>
      <c r="F588" s="24" t="str">
        <f>PROPER(nutrition!$H588)</f>
        <v>Kacang Andong</v>
      </c>
      <c r="G588" s="22" t="str">
        <f>IF(nutrition!$B588&gt;300,"Tinggi Kalori",IF(nutrition!$B588&gt;100,"Kalori Sedang","Rendah Kalori"))</f>
        <v>Tinggi Kalori</v>
      </c>
      <c r="H588" s="23" t="s">
        <v>592</v>
      </c>
    </row>
    <row r="589" spans="1:8" x14ac:dyDescent="0.3">
      <c r="A589" s="25">
        <v>588</v>
      </c>
      <c r="B589" s="26">
        <v>330</v>
      </c>
      <c r="C589" s="26">
        <v>238</v>
      </c>
      <c r="D589" s="26">
        <v>14</v>
      </c>
      <c r="E589" s="26">
        <v>602</v>
      </c>
      <c r="F589" s="28" t="str">
        <f>PROPER(nutrition!$H589)</f>
        <v>Kacang Arab</v>
      </c>
      <c r="G589" s="26" t="str">
        <f>IF(nutrition!$B589&gt;300,"Tinggi Kalori",IF(nutrition!$B589&gt;100,"Kalori Sedang","Rendah Kalori"))</f>
        <v>Tinggi Kalori</v>
      </c>
      <c r="H589" s="27" t="s">
        <v>593</v>
      </c>
    </row>
    <row r="590" spans="1:8" x14ac:dyDescent="0.3">
      <c r="A590" s="21">
        <v>589</v>
      </c>
      <c r="B590" s="22">
        <v>533</v>
      </c>
      <c r="C590" s="22">
        <v>278</v>
      </c>
      <c r="D590" s="22">
        <v>381</v>
      </c>
      <c r="E590" s="22">
        <v>288</v>
      </c>
      <c r="F590" s="24" t="str">
        <f>PROPER(nutrition!$H590)</f>
        <v>Kacang Atom</v>
      </c>
      <c r="G590" s="22" t="str">
        <f>IF(nutrition!$B590&gt;300,"Tinggi Kalori",IF(nutrition!$B590&gt;100,"Kalori Sedang","Rendah Kalori"))</f>
        <v>Tinggi Kalori</v>
      </c>
      <c r="H590" s="23" t="s">
        <v>594</v>
      </c>
    </row>
    <row r="591" spans="1:8" x14ac:dyDescent="0.3">
      <c r="A591" s="25">
        <v>590</v>
      </c>
      <c r="B591" s="26">
        <v>341</v>
      </c>
      <c r="C591" s="26">
        <v>304</v>
      </c>
      <c r="D591" s="26">
        <v>32</v>
      </c>
      <c r="E591" s="26">
        <v>513</v>
      </c>
      <c r="F591" s="28" t="str">
        <f>PROPER(nutrition!$H591)</f>
        <v>Kacang Babi Kering</v>
      </c>
      <c r="G591" s="26" t="str">
        <f>IF(nutrition!$B591&gt;300,"Tinggi Kalori",IF(nutrition!$B591&gt;100,"Kalori Sedang","Rendah Kalori"))</f>
        <v>Tinggi Kalori</v>
      </c>
      <c r="H591" s="27" t="s">
        <v>595</v>
      </c>
    </row>
    <row r="592" spans="1:8" x14ac:dyDescent="0.3">
      <c r="A592" s="21">
        <v>591</v>
      </c>
      <c r="B592" s="22">
        <v>400</v>
      </c>
      <c r="C592" s="22">
        <v>344</v>
      </c>
      <c r="D592" s="22">
        <v>169</v>
      </c>
      <c r="E592" s="22">
        <v>341</v>
      </c>
      <c r="F592" s="24" t="str">
        <f>PROPER(nutrition!$H592)</f>
        <v>Kacang Belimbing (Kecipir) Kering</v>
      </c>
      <c r="G592" s="22" t="str">
        <f>IF(nutrition!$B592&gt;300,"Tinggi Kalori",IF(nutrition!$B592&gt;100,"Kalori Sedang","Rendah Kalori"))</f>
        <v>Tinggi Kalori</v>
      </c>
      <c r="H592" s="23" t="s">
        <v>596</v>
      </c>
    </row>
    <row r="593" spans="1:8" x14ac:dyDescent="0.3">
      <c r="A593" s="25">
        <v>592</v>
      </c>
      <c r="B593" s="26">
        <v>204</v>
      </c>
      <c r="C593" s="26">
        <v>169</v>
      </c>
      <c r="D593" s="26">
        <v>88</v>
      </c>
      <c r="E593" s="26">
        <v>175</v>
      </c>
      <c r="F593" s="28" t="str">
        <f>PROPER(nutrition!$H593)</f>
        <v>Kacang Belimbing Rebus</v>
      </c>
      <c r="G593" s="26" t="str">
        <f>IF(nutrition!$B593&gt;300,"Tinggi Kalori",IF(nutrition!$B593&gt;100,"Kalori Sedang","Rendah Kalori"))</f>
        <v>Kalori Sedang</v>
      </c>
      <c r="H593" s="27" t="s">
        <v>597</v>
      </c>
    </row>
    <row r="594" spans="1:8" x14ac:dyDescent="0.3">
      <c r="A594" s="21">
        <v>593</v>
      </c>
      <c r="B594" s="22">
        <v>212</v>
      </c>
      <c r="C594" s="22">
        <v>175</v>
      </c>
      <c r="D594" s="22">
        <v>10</v>
      </c>
      <c r="E594" s="22">
        <v>129</v>
      </c>
      <c r="F594" s="24" t="str">
        <f>PROPER(nutrition!$H594)</f>
        <v>Kacang Belimbing Tempe</v>
      </c>
      <c r="G594" s="22" t="str">
        <f>IF(nutrition!$B594&gt;300,"Tinggi Kalori",IF(nutrition!$B594&gt;100,"Kalori Sedang","Rendah Kalori"))</f>
        <v>Kalori Sedang</v>
      </c>
      <c r="H594" s="23" t="s">
        <v>598</v>
      </c>
    </row>
    <row r="595" spans="1:8" x14ac:dyDescent="0.3">
      <c r="A595" s="25">
        <v>594</v>
      </c>
      <c r="B595" s="26">
        <v>118</v>
      </c>
      <c r="C595" s="26">
        <v>44</v>
      </c>
      <c r="D595" s="26">
        <v>15</v>
      </c>
      <c r="E595" s="26">
        <v>216</v>
      </c>
      <c r="F595" s="28" t="str">
        <f>PROPER(nutrition!$H595)</f>
        <v>Kacang Beracun Segar</v>
      </c>
      <c r="G595" s="26" t="str">
        <f>IF(nutrition!$B595&gt;300,"Tinggi Kalori",IF(nutrition!$B595&gt;100,"Kalori Sedang","Rendah Kalori"))</f>
        <v>Kalori Sedang</v>
      </c>
      <c r="H595" s="27" t="s">
        <v>599</v>
      </c>
    </row>
    <row r="596" spans="1:8" x14ac:dyDescent="0.3">
      <c r="A596" s="21">
        <v>595</v>
      </c>
      <c r="B596" s="22">
        <v>479</v>
      </c>
      <c r="C596" s="22">
        <v>127</v>
      </c>
      <c r="D596" s="22">
        <v>232</v>
      </c>
      <c r="E596" s="22">
        <v>589</v>
      </c>
      <c r="F596" s="24" t="str">
        <f>PROPER(nutrition!$H596)</f>
        <v>Kacang Bogor Goreng</v>
      </c>
      <c r="G596" s="22" t="str">
        <f>IF(nutrition!$B596&gt;300,"Tinggi Kalori",IF(nutrition!$B596&gt;100,"Kalori Sedang","Rendah Kalori"))</f>
        <v>Tinggi Kalori</v>
      </c>
      <c r="H596" s="23" t="s">
        <v>600</v>
      </c>
    </row>
    <row r="597" spans="1:8" x14ac:dyDescent="0.3">
      <c r="A597" s="25">
        <v>596</v>
      </c>
      <c r="B597" s="26">
        <v>370</v>
      </c>
      <c r="C597" s="26">
        <v>16</v>
      </c>
      <c r="D597" s="26">
        <v>6</v>
      </c>
      <c r="E597" s="26">
        <v>65</v>
      </c>
      <c r="F597" s="28" t="str">
        <f>PROPER(nutrition!$H597)</f>
        <v>Kacang Bogor Kering</v>
      </c>
      <c r="G597" s="26" t="str">
        <f>IF(nutrition!$B597&gt;300,"Tinggi Kalori",IF(nutrition!$B597&gt;100,"Kalori Sedang","Rendah Kalori"))</f>
        <v>Tinggi Kalori</v>
      </c>
      <c r="H597" s="27" t="s">
        <v>601</v>
      </c>
    </row>
    <row r="598" spans="1:8" x14ac:dyDescent="0.3">
      <c r="A598" s="21">
        <v>597</v>
      </c>
      <c r="B598" s="22">
        <v>161</v>
      </c>
      <c r="C598" s="22">
        <v>77</v>
      </c>
      <c r="D598" s="22">
        <v>28</v>
      </c>
      <c r="E598" s="22">
        <v>271</v>
      </c>
      <c r="F598" s="24" t="str">
        <f>PROPER(nutrition!$H598)</f>
        <v>Kacang Bogor Rebus</v>
      </c>
      <c r="G598" s="22" t="str">
        <f>IF(nutrition!$B598&gt;300,"Tinggi Kalori",IF(nutrition!$B598&gt;100,"Kalori Sedang","Rendah Kalori"))</f>
        <v>Kalori Sedang</v>
      </c>
      <c r="H598" s="23" t="s">
        <v>602</v>
      </c>
    </row>
    <row r="599" spans="1:8" x14ac:dyDescent="0.3">
      <c r="A599" s="25">
        <v>598</v>
      </c>
      <c r="B599" s="26">
        <v>165</v>
      </c>
      <c r="C599" s="26">
        <v>77</v>
      </c>
      <c r="D599" s="26">
        <v>31</v>
      </c>
      <c r="E599" s="26">
        <v>274</v>
      </c>
      <c r="F599" s="28" t="str">
        <f>PROPER(nutrition!$H599)</f>
        <v>Kacang Bogor Segar</v>
      </c>
      <c r="G599" s="26" t="str">
        <f>IF(nutrition!$B599&gt;300,"Tinggi Kalori",IF(nutrition!$B599&gt;100,"Kalori Sedang","Rendah Kalori"))</f>
        <v>Kalori Sedang</v>
      </c>
      <c r="H599" s="27" t="s">
        <v>603</v>
      </c>
    </row>
    <row r="600" spans="1:8" x14ac:dyDescent="0.3">
      <c r="A600" s="21">
        <v>599</v>
      </c>
      <c r="B600" s="22">
        <v>331</v>
      </c>
      <c r="C600" s="22">
        <v>25</v>
      </c>
      <c r="D600" s="22">
        <v>1</v>
      </c>
      <c r="E600" s="22">
        <v>58</v>
      </c>
      <c r="F600" s="24" t="str">
        <f>PROPER(nutrition!$H600)</f>
        <v>Kacang Endel Biji</v>
      </c>
      <c r="G600" s="22" t="str">
        <f>IF(nutrition!$B600&gt;300,"Tinggi Kalori",IF(nutrition!$B600&gt;100,"Kalori Sedang","Rendah Kalori"))</f>
        <v>Tinggi Kalori</v>
      </c>
      <c r="H600" s="23" t="s">
        <v>604</v>
      </c>
    </row>
    <row r="601" spans="1:8" x14ac:dyDescent="0.3">
      <c r="A601" s="25">
        <v>600</v>
      </c>
      <c r="B601" s="26">
        <v>129</v>
      </c>
      <c r="C601" s="26">
        <v>124</v>
      </c>
      <c r="D601" s="26">
        <v>7</v>
      </c>
      <c r="E601" s="26">
        <v>183</v>
      </c>
      <c r="F601" s="28" t="str">
        <f>PROPER(nutrition!$H601)</f>
        <v>Kacang Ercis Segar</v>
      </c>
      <c r="G601" s="26" t="str">
        <f>IF(nutrition!$B601&gt;300,"Tinggi Kalori",IF(nutrition!$B601&gt;100,"Kalori Sedang","Rendah Kalori"))</f>
        <v>Kalori Sedang</v>
      </c>
      <c r="H601" s="27" t="s">
        <v>605</v>
      </c>
    </row>
    <row r="602" spans="1:8" x14ac:dyDescent="0.3">
      <c r="A602" s="21">
        <v>601</v>
      </c>
      <c r="B602" s="22">
        <v>336</v>
      </c>
      <c r="C602" s="22">
        <v>231</v>
      </c>
      <c r="D602" s="22">
        <v>17</v>
      </c>
      <c r="E602" s="22">
        <v>595</v>
      </c>
      <c r="F602" s="24" t="str">
        <f>PROPER(nutrition!$H602)</f>
        <v>Kacang Galing Segar</v>
      </c>
      <c r="G602" s="22" t="str">
        <f>IF(nutrition!$B602&gt;300,"Tinggi Kalori",IF(nutrition!$B602&gt;100,"Kalori Sedang","Rendah Kalori"))</f>
        <v>Tinggi Kalori</v>
      </c>
      <c r="H602" s="23" t="s">
        <v>606</v>
      </c>
    </row>
    <row r="603" spans="1:8" x14ac:dyDescent="0.3">
      <c r="A603" s="25">
        <v>602</v>
      </c>
      <c r="B603" s="26">
        <v>516</v>
      </c>
      <c r="C603" s="26">
        <v>147</v>
      </c>
      <c r="D603" s="26">
        <v>311</v>
      </c>
      <c r="E603" s="26">
        <v>444</v>
      </c>
      <c r="F603" s="28" t="str">
        <f>PROPER(nutrition!$H603)</f>
        <v>Kacang Goyang</v>
      </c>
      <c r="G603" s="26" t="str">
        <f>IF(nutrition!$B603&gt;300,"Tinggi Kalori",IF(nutrition!$B603&gt;100,"Kalori Sedang","Rendah Kalori"))</f>
        <v>Tinggi Kalori</v>
      </c>
      <c r="H603" s="27" t="s">
        <v>607</v>
      </c>
    </row>
    <row r="604" spans="1:8" x14ac:dyDescent="0.3">
      <c r="A604" s="21">
        <v>603</v>
      </c>
      <c r="B604" s="22">
        <v>336</v>
      </c>
      <c r="C604" s="22">
        <v>207</v>
      </c>
      <c r="D604" s="22">
        <v>14</v>
      </c>
      <c r="E604" s="22">
        <v>62</v>
      </c>
      <c r="F604" s="24" t="str">
        <f>PROPER(nutrition!$H604)</f>
        <v>Kacang Gude Biji</v>
      </c>
      <c r="G604" s="22" t="str">
        <f>IF(nutrition!$B604&gt;300,"Tinggi Kalori",IF(nutrition!$B604&gt;100,"Kalori Sedang","Rendah Kalori"))</f>
        <v>Tinggi Kalori</v>
      </c>
      <c r="H604" s="23" t="s">
        <v>608</v>
      </c>
    </row>
    <row r="605" spans="1:8" x14ac:dyDescent="0.3">
      <c r="A605" s="25">
        <v>604</v>
      </c>
      <c r="B605" s="26">
        <v>316</v>
      </c>
      <c r="C605" s="26">
        <v>207</v>
      </c>
      <c r="D605" s="26">
        <v>1</v>
      </c>
      <c r="E605" s="26">
        <v>58</v>
      </c>
      <c r="F605" s="28" t="str">
        <f>PROPER(nutrition!$H605)</f>
        <v>Kacang Gude Biji Kering</v>
      </c>
      <c r="G605" s="26" t="str">
        <f>IF(nutrition!$B605&gt;300,"Tinggi Kalori",IF(nutrition!$B605&gt;100,"Kalori Sedang","Rendah Kalori"))</f>
        <v>Tinggi Kalori</v>
      </c>
      <c r="H605" s="27" t="s">
        <v>609</v>
      </c>
    </row>
    <row r="606" spans="1:8" x14ac:dyDescent="0.3">
      <c r="A606" s="21">
        <v>605</v>
      </c>
      <c r="B606" s="22">
        <v>114</v>
      </c>
      <c r="C606" s="22">
        <v>7</v>
      </c>
      <c r="D606" s="22">
        <v>6</v>
      </c>
      <c r="E606" s="22">
        <v>208</v>
      </c>
      <c r="F606" s="24" t="str">
        <f>PROPER(nutrition!$H606)</f>
        <v>Kacang Gude Biji Muda</v>
      </c>
      <c r="G606" s="22" t="str">
        <f>IF(nutrition!$B606&gt;300,"Tinggi Kalori",IF(nutrition!$B606&gt;100,"Kalori Sedang","Rendah Kalori"))</f>
        <v>Kalori Sedang</v>
      </c>
      <c r="H606" s="23" t="s">
        <v>610</v>
      </c>
    </row>
    <row r="607" spans="1:8" x14ac:dyDescent="0.3">
      <c r="A607" s="25">
        <v>606</v>
      </c>
      <c r="B607" s="26">
        <v>123</v>
      </c>
      <c r="C607" s="26">
        <v>84</v>
      </c>
      <c r="D607" s="26">
        <v>6</v>
      </c>
      <c r="E607" s="26">
        <v>18</v>
      </c>
      <c r="F607" s="28" t="str">
        <f>PROPER(nutrition!$H607)</f>
        <v>Kacang Gude Muda</v>
      </c>
      <c r="G607" s="26" t="str">
        <f>IF(nutrition!$B607&gt;300,"Tinggi Kalori",IF(nutrition!$B607&gt;100,"Kalori Sedang","Rendah Kalori"))</f>
        <v>Kalori Sedang</v>
      </c>
      <c r="H607" s="27" t="s">
        <v>611</v>
      </c>
    </row>
    <row r="608" spans="1:8" x14ac:dyDescent="0.3">
      <c r="A608" s="21">
        <v>607</v>
      </c>
      <c r="B608" s="22">
        <v>147</v>
      </c>
      <c r="C608" s="22">
        <v>9</v>
      </c>
      <c r="D608" s="22">
        <v>5</v>
      </c>
      <c r="E608" s="22">
        <v>275</v>
      </c>
      <c r="F608" s="24" t="str">
        <f>PROPER(nutrition!$H608)</f>
        <v>Kacang Gude Rebus</v>
      </c>
      <c r="G608" s="22" t="str">
        <f>IF(nutrition!$B608&gt;300,"Tinggi Kalori",IF(nutrition!$B608&gt;100,"Kalori Sedang","Rendah Kalori"))</f>
        <v>Kalori Sedang</v>
      </c>
      <c r="H608" s="23" t="s">
        <v>612</v>
      </c>
    </row>
    <row r="609" spans="1:8" x14ac:dyDescent="0.3">
      <c r="A609" s="25">
        <v>608</v>
      </c>
      <c r="B609" s="26">
        <v>323</v>
      </c>
      <c r="C609" s="26">
        <v>229</v>
      </c>
      <c r="D609" s="26">
        <v>15</v>
      </c>
      <c r="E609" s="26">
        <v>568</v>
      </c>
      <c r="F609" s="28" t="str">
        <f>PROPER(nutrition!$H609)</f>
        <v>Kacang Hijau Kering</v>
      </c>
      <c r="G609" s="26" t="str">
        <f>IF(nutrition!$B609&gt;300,"Tinggi Kalori",IF(nutrition!$B609&gt;100,"Kalori Sedang","Rendah Kalori"))</f>
        <v>Tinggi Kalori</v>
      </c>
      <c r="H609" s="27" t="s">
        <v>613</v>
      </c>
    </row>
    <row r="610" spans="1:8" x14ac:dyDescent="0.3">
      <c r="A610" s="21">
        <v>609</v>
      </c>
      <c r="B610" s="22">
        <v>109</v>
      </c>
      <c r="C610" s="22">
        <v>87</v>
      </c>
      <c r="D610" s="22">
        <v>5</v>
      </c>
      <c r="E610" s="22">
        <v>183</v>
      </c>
      <c r="F610" s="24" t="str">
        <f>PROPER(nutrition!$H610)</f>
        <v>Kacang Hijau Rebus</v>
      </c>
      <c r="G610" s="22" t="str">
        <f>IF(nutrition!$B610&gt;300,"Tinggi Kalori",IF(nutrition!$B610&gt;100,"Kalori Sedang","Rendah Kalori"))</f>
        <v>Kalori Sedang</v>
      </c>
      <c r="H610" s="23" t="s">
        <v>614</v>
      </c>
    </row>
    <row r="611" spans="1:8" x14ac:dyDescent="0.3">
      <c r="A611" s="25">
        <v>610</v>
      </c>
      <c r="B611" s="26">
        <v>350</v>
      </c>
      <c r="C611" s="26">
        <v>171</v>
      </c>
      <c r="D611" s="26">
        <v>18</v>
      </c>
      <c r="E611" s="26">
        <v>707</v>
      </c>
      <c r="F611" s="28" t="str">
        <f>PROPER(nutrition!$H611)</f>
        <v>Kacang Hijau Var. Bakti Kering</v>
      </c>
      <c r="G611" s="26" t="str">
        <f>IF(nutrition!$B611&gt;300,"Tinggi Kalori",IF(nutrition!$B611&gt;100,"Kalori Sedang","Rendah Kalori"))</f>
        <v>Tinggi Kalori</v>
      </c>
      <c r="H611" s="27" t="s">
        <v>615</v>
      </c>
    </row>
    <row r="612" spans="1:8" x14ac:dyDescent="0.3">
      <c r="A612" s="21">
        <v>611</v>
      </c>
      <c r="B612" s="22">
        <v>339</v>
      </c>
      <c r="C612" s="22">
        <v>208</v>
      </c>
      <c r="D612" s="22">
        <v>21</v>
      </c>
      <c r="E612" s="22">
        <v>646</v>
      </c>
      <c r="F612" s="24" t="str">
        <f>PROPER(nutrition!$H612)</f>
        <v>Kacang Hijau Var. Siwalik Kering</v>
      </c>
      <c r="G612" s="22" t="str">
        <f>IF(nutrition!$B612&gt;300,"Tinggi Kalori",IF(nutrition!$B612&gt;100,"Kalori Sedang","Rendah Kalori"))</f>
        <v>Tinggi Kalori</v>
      </c>
      <c r="H612" s="23" t="s">
        <v>616</v>
      </c>
    </row>
    <row r="613" spans="1:8" x14ac:dyDescent="0.3">
      <c r="A613" s="25">
        <v>612</v>
      </c>
      <c r="B613" s="26">
        <v>346</v>
      </c>
      <c r="C613" s="26">
        <v>166</v>
      </c>
      <c r="D613" s="26">
        <v>17</v>
      </c>
      <c r="E613" s="26">
        <v>661</v>
      </c>
      <c r="F613" s="28" t="str">
        <f>PROPER(nutrition!$H613)</f>
        <v>Kacang Hitam Kering</v>
      </c>
      <c r="G613" s="26" t="str">
        <f>IF(nutrition!$B613&gt;300,"Tinggi Kalori",IF(nutrition!$B613&gt;100,"Kalori Sedang","Rendah Kalori"))</f>
        <v>Tinggi Kalori</v>
      </c>
      <c r="H613" s="27" t="s">
        <v>617</v>
      </c>
    </row>
    <row r="614" spans="1:8" x14ac:dyDescent="0.3">
      <c r="A614" s="21">
        <v>613</v>
      </c>
      <c r="B614" s="22">
        <v>345</v>
      </c>
      <c r="C614" s="22">
        <v>222</v>
      </c>
      <c r="D614" s="22">
        <v>12</v>
      </c>
      <c r="E614" s="22">
        <v>629</v>
      </c>
      <c r="F614" s="24" t="str">
        <f>PROPER(nutrition!$H614)</f>
        <v>Kacang Ijo</v>
      </c>
      <c r="G614" s="22" t="str">
        <f>IF(nutrition!$B614&gt;300,"Tinggi Kalori",IF(nutrition!$B614&gt;100,"Kalori Sedang","Rendah Kalori"))</f>
        <v>Tinggi Kalori</v>
      </c>
      <c r="H614" s="23" t="s">
        <v>618</v>
      </c>
    </row>
    <row r="615" spans="1:8" x14ac:dyDescent="0.3">
      <c r="A615" s="25">
        <v>614</v>
      </c>
      <c r="B615" s="26">
        <v>445</v>
      </c>
      <c r="C615" s="26">
        <v>11</v>
      </c>
      <c r="D615" s="26">
        <v>11</v>
      </c>
      <c r="E615" s="26">
        <v>655</v>
      </c>
      <c r="F615" s="28" t="str">
        <f>PROPER(nutrition!$H615)</f>
        <v xml:space="preserve">Kacang Kapri Goreng </v>
      </c>
      <c r="G615" s="26" t="str">
        <f>IF(nutrition!$B615&gt;300,"Tinggi Kalori",IF(nutrition!$B615&gt;100,"Kalori Sedang","Rendah Kalori"))</f>
        <v>Tinggi Kalori</v>
      </c>
      <c r="H615" s="27" t="s">
        <v>619</v>
      </c>
    </row>
    <row r="616" spans="1:8" x14ac:dyDescent="0.3">
      <c r="A616" s="21">
        <v>615</v>
      </c>
      <c r="B616" s="22">
        <v>98</v>
      </c>
      <c r="C616" s="22">
        <v>67</v>
      </c>
      <c r="D616" s="22">
        <v>4</v>
      </c>
      <c r="E616" s="22">
        <v>177</v>
      </c>
      <c r="F616" s="24" t="str">
        <f>PROPER(nutrition!$H616)</f>
        <v>Kacang Kapri Muda</v>
      </c>
      <c r="G616" s="22" t="str">
        <f>IF(nutrition!$B616&gt;300,"Tinggi Kalori",IF(nutrition!$B616&gt;100,"Kalori Sedang","Rendah Kalori"))</f>
        <v>Rendah Kalori</v>
      </c>
      <c r="H616" s="23" t="s">
        <v>620</v>
      </c>
    </row>
    <row r="617" spans="1:8" x14ac:dyDescent="0.3">
      <c r="A617" s="25">
        <v>616</v>
      </c>
      <c r="B617" s="26">
        <v>286</v>
      </c>
      <c r="C617" s="26">
        <v>302</v>
      </c>
      <c r="D617" s="26">
        <v>156</v>
      </c>
      <c r="E617" s="26">
        <v>301</v>
      </c>
      <c r="F617" s="28" t="str">
        <f>PROPER(nutrition!$H617)</f>
        <v>Kacang Kedelai Basah</v>
      </c>
      <c r="G617" s="26" t="str">
        <f>IF(nutrition!$B617&gt;300,"Tinggi Kalori",IF(nutrition!$B617&gt;100,"Kalori Sedang","Rendah Kalori"))</f>
        <v>Kalori Sedang</v>
      </c>
      <c r="H617" s="27" t="s">
        <v>621</v>
      </c>
    </row>
    <row r="618" spans="1:8" x14ac:dyDescent="0.3">
      <c r="A618" s="21">
        <v>617</v>
      </c>
      <c r="B618" s="22">
        <v>521</v>
      </c>
      <c r="C618" s="22">
        <v>322</v>
      </c>
      <c r="D618" s="22">
        <v>377</v>
      </c>
      <c r="E618" s="22">
        <v>229</v>
      </c>
      <c r="F618" s="24" t="str">
        <f>PROPER(nutrition!$H618)</f>
        <v>Kacang Kedelai Goreng</v>
      </c>
      <c r="G618" s="22" t="str">
        <f>IF(nutrition!$B618&gt;300,"Tinggi Kalori",IF(nutrition!$B618&gt;100,"Kalori Sedang","Rendah Kalori"))</f>
        <v>Tinggi Kalori</v>
      </c>
      <c r="H618" s="23" t="s">
        <v>622</v>
      </c>
    </row>
    <row r="619" spans="1:8" x14ac:dyDescent="0.3">
      <c r="A619" s="25">
        <v>618</v>
      </c>
      <c r="B619" s="26">
        <v>381</v>
      </c>
      <c r="C619" s="26">
        <v>404</v>
      </c>
      <c r="D619" s="26">
        <v>167</v>
      </c>
      <c r="E619" s="26">
        <v>249</v>
      </c>
      <c r="F619" s="28" t="str">
        <f>PROPER(nutrition!$H619)</f>
        <v>Kacang Kedelai Kering</v>
      </c>
      <c r="G619" s="26" t="str">
        <f>IF(nutrition!$B619&gt;300,"Tinggi Kalori",IF(nutrition!$B619&gt;100,"Kalori Sedang","Rendah Kalori"))</f>
        <v>Tinggi Kalori</v>
      </c>
      <c r="H619" s="27" t="s">
        <v>623</v>
      </c>
    </row>
    <row r="620" spans="1:8" x14ac:dyDescent="0.3">
      <c r="A620" s="21">
        <v>619</v>
      </c>
      <c r="B620" s="22">
        <v>75</v>
      </c>
      <c r="C620" s="22">
        <v>41</v>
      </c>
      <c r="D620" s="22">
        <v>21</v>
      </c>
      <c r="E620" s="22">
        <v>107</v>
      </c>
      <c r="F620" s="24" t="str">
        <f>PROPER(nutrition!$H620)</f>
        <v>Kacang Kedelai Kukus</v>
      </c>
      <c r="G620" s="22" t="str">
        <f>IF(nutrition!$B620&gt;300,"Tinggi Kalori",IF(nutrition!$B620&gt;100,"Kalori Sedang","Rendah Kalori"))</f>
        <v>Rendah Kalori</v>
      </c>
      <c r="H620" s="23" t="s">
        <v>624</v>
      </c>
    </row>
    <row r="621" spans="1:8" x14ac:dyDescent="0.3">
      <c r="A621" s="25">
        <v>620</v>
      </c>
      <c r="B621" s="26">
        <v>189</v>
      </c>
      <c r="C621" s="26">
        <v>202</v>
      </c>
      <c r="D621" s="26">
        <v>82</v>
      </c>
      <c r="E621" s="26">
        <v>127</v>
      </c>
      <c r="F621" s="28" t="str">
        <f>PROPER(nutrition!$H621)</f>
        <v>Kacang Kedelai Rebus</v>
      </c>
      <c r="G621" s="26" t="str">
        <f>IF(nutrition!$B621&gt;300,"Tinggi Kalori",IF(nutrition!$B621&gt;100,"Kalori Sedang","Rendah Kalori"))</f>
        <v>Kalori Sedang</v>
      </c>
      <c r="H621" s="27" t="s">
        <v>625</v>
      </c>
    </row>
    <row r="622" spans="1:8" x14ac:dyDescent="0.3">
      <c r="A622" s="21">
        <v>621</v>
      </c>
      <c r="B622" s="22">
        <v>286</v>
      </c>
      <c r="C622" s="22">
        <v>302</v>
      </c>
      <c r="D622" s="22">
        <v>156</v>
      </c>
      <c r="E622" s="22">
        <v>301</v>
      </c>
      <c r="F622" s="24" t="str">
        <f>PROPER(nutrition!$H622)</f>
        <v>Kacang Kedelai Segar</v>
      </c>
      <c r="G622" s="22" t="str">
        <f>IF(nutrition!$B622&gt;300,"Tinggi Kalori",IF(nutrition!$B622&gt;100,"Kalori Sedang","Rendah Kalori"))</f>
        <v>Kalori Sedang</v>
      </c>
      <c r="H622" s="23" t="s">
        <v>626</v>
      </c>
    </row>
    <row r="623" spans="1:8" x14ac:dyDescent="0.3">
      <c r="A623" s="25">
        <v>622</v>
      </c>
      <c r="B623" s="26">
        <v>327</v>
      </c>
      <c r="C623" s="26">
        <v>164</v>
      </c>
      <c r="D623" s="26">
        <v>43</v>
      </c>
      <c r="E623" s="26">
        <v>558</v>
      </c>
      <c r="F623" s="28" t="str">
        <f>PROPER(nutrition!$H623)</f>
        <v>Kacang Komak Segar</v>
      </c>
      <c r="G623" s="26" t="str">
        <f>IF(nutrition!$B623&gt;300,"Tinggi Kalori",IF(nutrition!$B623&gt;100,"Kalori Sedang","Rendah Kalori"))</f>
        <v>Tinggi Kalori</v>
      </c>
      <c r="H623" s="27" t="s">
        <v>627</v>
      </c>
    </row>
    <row r="624" spans="1:8" x14ac:dyDescent="0.3">
      <c r="A624" s="21">
        <v>623</v>
      </c>
      <c r="B624" s="22">
        <v>355</v>
      </c>
      <c r="C624" s="22">
        <v>17</v>
      </c>
      <c r="D624" s="22">
        <v>25</v>
      </c>
      <c r="E624" s="22">
        <v>66</v>
      </c>
      <c r="F624" s="24" t="str">
        <f>PROPER(nutrition!$H624)</f>
        <v>Kacang Kuning Kering</v>
      </c>
      <c r="G624" s="22" t="str">
        <f>IF(nutrition!$B624&gt;300,"Tinggi Kalori",IF(nutrition!$B624&gt;100,"Kalori Sedang","Rendah Kalori"))</f>
        <v>Tinggi Kalori</v>
      </c>
      <c r="H624" s="23" t="s">
        <v>628</v>
      </c>
    </row>
    <row r="625" spans="1:8" x14ac:dyDescent="0.3">
      <c r="A625" s="25">
        <v>624</v>
      </c>
      <c r="B625" s="26">
        <v>346</v>
      </c>
      <c r="C625" s="26">
        <v>165</v>
      </c>
      <c r="D625" s="26">
        <v>15</v>
      </c>
      <c r="E625" s="26">
        <v>666</v>
      </c>
      <c r="F625" s="28" t="str">
        <f>PROPER(nutrition!$H625)</f>
        <v>Kacang Lebui /Iris Kering</v>
      </c>
      <c r="G625" s="26" t="str">
        <f>IF(nutrition!$B625&gt;300,"Tinggi Kalori",IF(nutrition!$B625&gt;100,"Kalori Sedang","Rendah Kalori"))</f>
        <v>Tinggi Kalori</v>
      </c>
      <c r="H625" s="27" t="s">
        <v>629</v>
      </c>
    </row>
    <row r="626" spans="1:8" x14ac:dyDescent="0.3">
      <c r="A626" s="21">
        <v>625</v>
      </c>
      <c r="B626" s="22">
        <v>22</v>
      </c>
      <c r="C626" s="22">
        <v>11</v>
      </c>
      <c r="D626" s="22">
        <v>1</v>
      </c>
      <c r="E626" s="22">
        <v>34</v>
      </c>
      <c r="F626" s="24" t="str">
        <f>PROPER(nutrition!$H626)</f>
        <v>Kacang Mekah Polong Segar</v>
      </c>
      <c r="G626" s="22" t="str">
        <f>IF(nutrition!$B626&gt;300,"Tinggi Kalori",IF(nutrition!$B626&gt;100,"Kalori Sedang","Rendah Kalori"))</f>
        <v>Rendah Kalori</v>
      </c>
      <c r="H626" s="23" t="s">
        <v>630</v>
      </c>
    </row>
    <row r="627" spans="1:8" x14ac:dyDescent="0.3">
      <c r="A627" s="25">
        <v>626</v>
      </c>
      <c r="B627" s="26">
        <v>344</v>
      </c>
      <c r="C627" s="26">
        <v>167</v>
      </c>
      <c r="D627" s="26">
        <v>21</v>
      </c>
      <c r="E627" s="26">
        <v>646</v>
      </c>
      <c r="F627" s="28" t="str">
        <f>PROPER(nutrition!$H627)</f>
        <v>Kacang Mentega Kering</v>
      </c>
      <c r="G627" s="26" t="str">
        <f>IF(nutrition!$B627&gt;300,"Tinggi Kalori",IF(nutrition!$B627&gt;100,"Kalori Sedang","Rendah Kalori"))</f>
        <v>Tinggi Kalori</v>
      </c>
      <c r="H627" s="27" t="s">
        <v>631</v>
      </c>
    </row>
    <row r="628" spans="1:8" x14ac:dyDescent="0.3">
      <c r="A628" s="21">
        <v>627</v>
      </c>
      <c r="B628" s="22">
        <v>336</v>
      </c>
      <c r="C628" s="22">
        <v>231</v>
      </c>
      <c r="D628" s="22">
        <v>17</v>
      </c>
      <c r="E628" s="22">
        <v>595</v>
      </c>
      <c r="F628" s="24" t="str">
        <f>PROPER(nutrition!$H628)</f>
        <v>Kacang Merah</v>
      </c>
      <c r="G628" s="22" t="str">
        <f>IF(nutrition!$B628&gt;300,"Tinggi Kalori",IF(nutrition!$B628&gt;100,"Kalori Sedang","Rendah Kalori"))</f>
        <v>Tinggi Kalori</v>
      </c>
      <c r="H628" s="23" t="s">
        <v>632</v>
      </c>
    </row>
    <row r="629" spans="1:8" x14ac:dyDescent="0.3">
      <c r="A629" s="25">
        <v>628</v>
      </c>
      <c r="B629" s="26">
        <v>350</v>
      </c>
      <c r="C629" s="26">
        <v>139</v>
      </c>
      <c r="D629" s="26">
        <v>3</v>
      </c>
      <c r="E629" s="26">
        <v>669</v>
      </c>
      <c r="F629" s="28" t="str">
        <f>PROPER(nutrition!$H629)</f>
        <v>Kacang Merah /Banda Kering</v>
      </c>
      <c r="G629" s="26" t="str">
        <f>IF(nutrition!$B629&gt;300,"Tinggi Kalori",IF(nutrition!$B629&gt;100,"Kalori Sedang","Rendah Kalori"))</f>
        <v>Tinggi Kalori</v>
      </c>
      <c r="H629" s="27" t="s">
        <v>633</v>
      </c>
    </row>
    <row r="630" spans="1:8" x14ac:dyDescent="0.3">
      <c r="A630" s="21">
        <v>629</v>
      </c>
      <c r="B630" s="22">
        <v>314</v>
      </c>
      <c r="C630" s="22">
        <v>221</v>
      </c>
      <c r="D630" s="22">
        <v>11</v>
      </c>
      <c r="E630" s="22">
        <v>562</v>
      </c>
      <c r="F630" s="24" t="str">
        <f>PROPER(nutrition!$H630)</f>
        <v>Kacang Merah Kering</v>
      </c>
      <c r="G630" s="22" t="str">
        <f>IF(nutrition!$B630&gt;300,"Tinggi Kalori",IF(nutrition!$B630&gt;100,"Kalori Sedang","Rendah Kalori"))</f>
        <v>Tinggi Kalori</v>
      </c>
      <c r="H630" s="23" t="s">
        <v>634</v>
      </c>
    </row>
    <row r="631" spans="1:8" x14ac:dyDescent="0.3">
      <c r="A631" s="25">
        <v>630</v>
      </c>
      <c r="B631" s="26">
        <v>158</v>
      </c>
      <c r="C631" s="26">
        <v>103</v>
      </c>
      <c r="D631" s="26">
        <v>9</v>
      </c>
      <c r="E631" s="26">
        <v>282</v>
      </c>
      <c r="F631" s="28" t="str">
        <f>PROPER(nutrition!$H631)</f>
        <v>Kacang Merah Kering Rebus</v>
      </c>
      <c r="G631" s="26" t="str">
        <f>IF(nutrition!$B631&gt;300,"Tinggi Kalori",IF(nutrition!$B631&gt;100,"Kalori Sedang","Rendah Kalori"))</f>
        <v>Kalori Sedang</v>
      </c>
      <c r="H631" s="27" t="s">
        <v>635</v>
      </c>
    </row>
    <row r="632" spans="1:8" x14ac:dyDescent="0.3">
      <c r="A632" s="21">
        <v>631</v>
      </c>
      <c r="B632" s="22">
        <v>171</v>
      </c>
      <c r="C632" s="22">
        <v>11</v>
      </c>
      <c r="D632" s="22">
        <v>22</v>
      </c>
      <c r="E632" s="22">
        <v>28</v>
      </c>
      <c r="F632" s="24" t="str">
        <f>PROPER(nutrition!$H632)</f>
        <v>Kacang Merah Segar</v>
      </c>
      <c r="G632" s="22" t="str">
        <f>IF(nutrition!$B632&gt;300,"Tinggi Kalori",IF(nutrition!$B632&gt;100,"Kalori Sedang","Rendah Kalori"))</f>
        <v>Kalori Sedang</v>
      </c>
      <c r="H632" s="23" t="s">
        <v>636</v>
      </c>
    </row>
    <row r="633" spans="1:8" x14ac:dyDescent="0.3">
      <c r="A633" s="25">
        <v>632</v>
      </c>
      <c r="B633" s="26">
        <v>144</v>
      </c>
      <c r="C633" s="26">
        <v>10</v>
      </c>
      <c r="D633" s="26">
        <v>1</v>
      </c>
      <c r="E633" s="26">
        <v>247</v>
      </c>
      <c r="F633" s="28" t="str">
        <f>PROPER(nutrition!$H633)</f>
        <v>Kacang Merah Segar Rebus</v>
      </c>
      <c r="G633" s="26" t="str">
        <f>IF(nutrition!$B633&gt;300,"Tinggi Kalori",IF(nutrition!$B633&gt;100,"Kalori Sedang","Rendah Kalori"))</f>
        <v>Kalori Sedang</v>
      </c>
      <c r="H633" s="27" t="s">
        <v>637</v>
      </c>
    </row>
    <row r="634" spans="1:8" x14ac:dyDescent="0.3">
      <c r="A634" s="21">
        <v>633</v>
      </c>
      <c r="B634" s="22">
        <v>280</v>
      </c>
      <c r="C634" s="22">
        <v>167</v>
      </c>
      <c r="D634" s="22">
        <v>16</v>
      </c>
      <c r="E634" s="22">
        <v>632</v>
      </c>
      <c r="F634" s="24" t="str">
        <f>PROPER(nutrition!$H634)</f>
        <v>Kacang Merah Tua Kering</v>
      </c>
      <c r="G634" s="22" t="str">
        <f>IF(nutrition!$B634&gt;300,"Tinggi Kalori",IF(nutrition!$B634&gt;100,"Kalori Sedang","Rendah Kalori"))</f>
        <v>Kalori Sedang</v>
      </c>
      <c r="H634" s="23" t="s">
        <v>638</v>
      </c>
    </row>
    <row r="635" spans="1:8" x14ac:dyDescent="0.3">
      <c r="A635" s="25">
        <v>634</v>
      </c>
      <c r="B635" s="26">
        <v>629</v>
      </c>
      <c r="C635" s="26">
        <v>204</v>
      </c>
      <c r="D635" s="26">
        <v>563</v>
      </c>
      <c r="E635" s="26">
        <v>198</v>
      </c>
      <c r="F635" s="28" t="str">
        <f>PROPER(nutrition!$H635)</f>
        <v>Kacang Mete/Biji Jambu Monyet Goreng</v>
      </c>
      <c r="G635" s="26" t="str">
        <f>IF(nutrition!$B635&gt;300,"Tinggi Kalori",IF(nutrition!$B635&gt;100,"Kalori Sedang","Rendah Kalori"))</f>
        <v>Tinggi Kalori</v>
      </c>
      <c r="H635" s="27" t="s">
        <v>639</v>
      </c>
    </row>
    <row r="636" spans="1:8" x14ac:dyDescent="0.3">
      <c r="A636" s="21">
        <v>635</v>
      </c>
      <c r="B636" s="22">
        <v>616</v>
      </c>
      <c r="C636" s="22">
        <v>163</v>
      </c>
      <c r="D636" s="22">
        <v>484</v>
      </c>
      <c r="E636" s="22">
        <v>287</v>
      </c>
      <c r="F636" s="24" t="str">
        <f>PROPER(nutrition!$H636)</f>
        <v>Kacang Mete/Biji Jambu Monyet Segar</v>
      </c>
      <c r="G636" s="22" t="str">
        <f>IF(nutrition!$B636&gt;300,"Tinggi Kalori",IF(nutrition!$B636&gt;100,"Kalori Sedang","Rendah Kalori"))</f>
        <v>Tinggi Kalori</v>
      </c>
      <c r="H636" s="23" t="s">
        <v>640</v>
      </c>
    </row>
    <row r="637" spans="1:8" x14ac:dyDescent="0.3">
      <c r="A637" s="25">
        <v>636</v>
      </c>
      <c r="B637" s="26">
        <v>480</v>
      </c>
      <c r="C637" s="26">
        <v>184</v>
      </c>
      <c r="D637" s="26">
        <v>191</v>
      </c>
      <c r="E637" s="26">
        <v>585</v>
      </c>
      <c r="F637" s="28" t="str">
        <f>PROPER(nutrition!$H637)</f>
        <v>Kacang Negara</v>
      </c>
      <c r="G637" s="26" t="str">
        <f>IF(nutrition!$B637&gt;300,"Tinggi Kalori",IF(nutrition!$B637&gt;100,"Kalori Sedang","Rendah Kalori"))</f>
        <v>Tinggi Kalori</v>
      </c>
      <c r="H637" s="27" t="s">
        <v>641</v>
      </c>
    </row>
    <row r="638" spans="1:8" x14ac:dyDescent="0.3">
      <c r="A638" s="21">
        <v>637</v>
      </c>
      <c r="B638" s="22">
        <v>44</v>
      </c>
      <c r="C638" s="22">
        <v>27</v>
      </c>
      <c r="D638" s="22">
        <v>3</v>
      </c>
      <c r="E638" s="22">
        <v>78</v>
      </c>
      <c r="F638" s="24" t="str">
        <f>PROPER(nutrition!$H638)</f>
        <v>Kacang Panjang</v>
      </c>
      <c r="G638" s="22" t="str">
        <f>IF(nutrition!$B638&gt;300,"Tinggi Kalori",IF(nutrition!$B638&gt;100,"Kalori Sedang","Rendah Kalori"))</f>
        <v>Rendah Kalori</v>
      </c>
      <c r="H638" s="23" t="s">
        <v>642</v>
      </c>
    </row>
    <row r="639" spans="1:8" x14ac:dyDescent="0.3">
      <c r="A639" s="25">
        <v>638</v>
      </c>
      <c r="B639" s="26">
        <v>357</v>
      </c>
      <c r="C639" s="26">
        <v>173</v>
      </c>
      <c r="D639" s="26">
        <v>15</v>
      </c>
      <c r="E639" s="26">
        <v>70</v>
      </c>
      <c r="F639" s="28" t="str">
        <f>PROPER(nutrition!$H639)</f>
        <v>Kacang Panjang Biji</v>
      </c>
      <c r="G639" s="26" t="str">
        <f>IF(nutrition!$B639&gt;300,"Tinggi Kalori",IF(nutrition!$B639&gt;100,"Kalori Sedang","Rendah Kalori"))</f>
        <v>Tinggi Kalori</v>
      </c>
      <c r="H639" s="27" t="s">
        <v>643</v>
      </c>
    </row>
    <row r="640" spans="1:8" x14ac:dyDescent="0.3">
      <c r="A640" s="21">
        <v>639</v>
      </c>
      <c r="B640" s="22">
        <v>39</v>
      </c>
      <c r="C640" s="22">
        <v>3</v>
      </c>
      <c r="D640" s="22">
        <v>6</v>
      </c>
      <c r="E640" s="22">
        <v>76</v>
      </c>
      <c r="F640" s="24" t="str">
        <f>PROPER(nutrition!$H640)</f>
        <v>Kacang Panjang Kukus</v>
      </c>
      <c r="G640" s="22" t="str">
        <f>IF(nutrition!$B640&gt;300,"Tinggi Kalori",IF(nutrition!$B640&gt;100,"Kalori Sedang","Rendah Kalori"))</f>
        <v>Rendah Kalori</v>
      </c>
      <c r="H640" s="23" t="s">
        <v>644</v>
      </c>
    </row>
    <row r="641" spans="1:8" x14ac:dyDescent="0.3">
      <c r="A641" s="25">
        <v>640</v>
      </c>
      <c r="B641" s="26">
        <v>150</v>
      </c>
      <c r="C641" s="26">
        <v>25</v>
      </c>
      <c r="D641" s="26">
        <v>125</v>
      </c>
      <c r="E641" s="26">
        <v>7</v>
      </c>
      <c r="F641" s="28" t="str">
        <f>PROPER(nutrition!$H641)</f>
        <v>Kacang Panjang Tumis</v>
      </c>
      <c r="G641" s="26" t="str">
        <f>IF(nutrition!$B641&gt;300,"Tinggi Kalori",IF(nutrition!$B641&gt;100,"Kalori Sedang","Rendah Kalori"))</f>
        <v>Kalori Sedang</v>
      </c>
      <c r="H641" s="27" t="s">
        <v>645</v>
      </c>
    </row>
    <row r="642" spans="1:8" x14ac:dyDescent="0.3">
      <c r="A642" s="21">
        <v>641</v>
      </c>
      <c r="B642" s="22">
        <v>37</v>
      </c>
      <c r="C642" s="22">
        <v>31</v>
      </c>
      <c r="D642" s="22">
        <v>2</v>
      </c>
      <c r="E642" s="22">
        <v>79</v>
      </c>
      <c r="F642" s="24" t="str">
        <f>PROPER(nutrition!$H642)</f>
        <v>Kacang Ranti Polong</v>
      </c>
      <c r="G642" s="22" t="str">
        <f>IF(nutrition!$B642&gt;300,"Tinggi Kalori",IF(nutrition!$B642&gt;100,"Kalori Sedang","Rendah Kalori"))</f>
        <v>Rendah Kalori</v>
      </c>
      <c r="H642" s="23" t="s">
        <v>646</v>
      </c>
    </row>
    <row r="643" spans="1:8" x14ac:dyDescent="0.3">
      <c r="A643" s="25">
        <v>642</v>
      </c>
      <c r="B643" s="26">
        <v>484</v>
      </c>
      <c r="C643" s="26">
        <v>88</v>
      </c>
      <c r="D643" s="26">
        <v>261</v>
      </c>
      <c r="E643" s="26">
        <v>577</v>
      </c>
      <c r="F643" s="28" t="str">
        <f>PROPER(nutrition!$H643)</f>
        <v>Kacang Sukro</v>
      </c>
      <c r="G643" s="26" t="str">
        <f>IF(nutrition!$B643&gt;300,"Tinggi Kalori",IF(nutrition!$B643&gt;100,"Kalori Sedang","Rendah Kalori"))</f>
        <v>Tinggi Kalori</v>
      </c>
      <c r="H643" s="27" t="s">
        <v>647</v>
      </c>
    </row>
    <row r="644" spans="1:8" x14ac:dyDescent="0.3">
      <c r="A644" s="21">
        <v>643</v>
      </c>
      <c r="B644" s="22">
        <v>488</v>
      </c>
      <c r="C644" s="22">
        <v>256</v>
      </c>
      <c r="D644" s="22">
        <v>256</v>
      </c>
      <c r="E644" s="22">
        <v>596</v>
      </c>
      <c r="F644" s="24" t="str">
        <f>PROPER(nutrition!$H644)</f>
        <v xml:space="preserve">Kacang Sukro Putih </v>
      </c>
      <c r="G644" s="22" t="str">
        <f>IF(nutrition!$B644&gt;300,"Tinggi Kalori",IF(nutrition!$B644&gt;100,"Kalori Sedang","Rendah Kalori"))</f>
        <v>Tinggi Kalori</v>
      </c>
      <c r="H644" s="23" t="s">
        <v>648</v>
      </c>
    </row>
    <row r="645" spans="1:8" x14ac:dyDescent="0.3">
      <c r="A645" s="25">
        <v>644</v>
      </c>
      <c r="B645" s="26">
        <v>535</v>
      </c>
      <c r="C645" s="26">
        <v>278</v>
      </c>
      <c r="D645" s="26">
        <v>381</v>
      </c>
      <c r="E645" s="26">
        <v>288</v>
      </c>
      <c r="F645" s="28" t="str">
        <f>PROPER(nutrition!$H645)</f>
        <v>Kacang Tanah Atom</v>
      </c>
      <c r="G645" s="26" t="str">
        <f>IF(nutrition!$B645&gt;300,"Tinggi Kalori",IF(nutrition!$B645&gt;100,"Kalori Sedang","Rendah Kalori"))</f>
        <v>Tinggi Kalori</v>
      </c>
      <c r="H645" s="27" t="s">
        <v>649</v>
      </c>
    </row>
    <row r="646" spans="1:8" x14ac:dyDescent="0.3">
      <c r="A646" s="21">
        <v>645</v>
      </c>
      <c r="B646" s="22">
        <v>564</v>
      </c>
      <c r="C646" s="22">
        <v>255</v>
      </c>
      <c r="D646" s="22">
        <v>444</v>
      </c>
      <c r="E646" s="22">
        <v>255</v>
      </c>
      <c r="F646" s="24" t="str">
        <f>PROPER(nutrition!$H646)</f>
        <v>Kacang Tanah Goreng</v>
      </c>
      <c r="G646" s="22" t="str">
        <f>IF(nutrition!$B646&gt;300,"Tinggi Kalori",IF(nutrition!$B646&gt;100,"Kalori Sedang","Rendah Kalori"))</f>
        <v>Tinggi Kalori</v>
      </c>
      <c r="H646" s="23" t="s">
        <v>650</v>
      </c>
    </row>
    <row r="647" spans="1:8" x14ac:dyDescent="0.3">
      <c r="A647" s="25">
        <v>646</v>
      </c>
      <c r="B647" s="26">
        <v>561</v>
      </c>
      <c r="C647" s="26">
        <v>255</v>
      </c>
      <c r="D647" s="26">
        <v>438</v>
      </c>
      <c r="E647" s="26">
        <v>26</v>
      </c>
      <c r="F647" s="28" t="str">
        <f>PROPER(nutrition!$H647)</f>
        <v>Kacang Tanah Kacang Sari</v>
      </c>
      <c r="G647" s="26" t="str">
        <f>IF(nutrition!$B647&gt;300,"Tinggi Kalori",IF(nutrition!$B647&gt;100,"Kalori Sedang","Rendah Kalori"))</f>
        <v>Tinggi Kalori</v>
      </c>
      <c r="H647" s="27" t="s">
        <v>651</v>
      </c>
    </row>
    <row r="648" spans="1:8" x14ac:dyDescent="0.3">
      <c r="A648" s="21">
        <v>647</v>
      </c>
      <c r="B648" s="22">
        <v>525</v>
      </c>
      <c r="C648" s="22">
        <v>279</v>
      </c>
      <c r="D648" s="22">
        <v>427</v>
      </c>
      <c r="E648" s="22">
        <v>174</v>
      </c>
      <c r="F648" s="24" t="str">
        <f>PROPER(nutrition!$H648)</f>
        <v>Kacang Tanah Kering</v>
      </c>
      <c r="G648" s="22" t="str">
        <f>IF(nutrition!$B648&gt;300,"Tinggi Kalori",IF(nutrition!$B648&gt;100,"Kalori Sedang","Rendah Kalori"))</f>
        <v>Tinggi Kalori</v>
      </c>
      <c r="H648" s="23" t="s">
        <v>652</v>
      </c>
    </row>
    <row r="649" spans="1:8" x14ac:dyDescent="0.3">
      <c r="A649" s="25">
        <v>648</v>
      </c>
      <c r="B649" s="26">
        <v>385</v>
      </c>
      <c r="C649" s="26">
        <v>14</v>
      </c>
      <c r="D649" s="26">
        <v>31</v>
      </c>
      <c r="E649" s="26">
        <v>13</v>
      </c>
      <c r="F649" s="28" t="str">
        <f>PROPER(nutrition!$H649)</f>
        <v xml:space="preserve">Kacang Tanah Rebus </v>
      </c>
      <c r="G649" s="26" t="str">
        <f>IF(nutrition!$B649&gt;300,"Tinggi Kalori",IF(nutrition!$B649&gt;100,"Kalori Sedang","Rendah Kalori"))</f>
        <v>Tinggi Kalori</v>
      </c>
      <c r="H649" s="27" t="s">
        <v>653</v>
      </c>
    </row>
    <row r="650" spans="1:8" x14ac:dyDescent="0.3">
      <c r="A650" s="21">
        <v>649</v>
      </c>
      <c r="B650" s="22">
        <v>360</v>
      </c>
      <c r="C650" s="22">
        <v>135</v>
      </c>
      <c r="D650" s="22">
        <v>312</v>
      </c>
      <c r="E650" s="22">
        <v>128</v>
      </c>
      <c r="F650" s="24" t="str">
        <f>PROPER(nutrition!$H650)</f>
        <v>Kacang Tanah Rebus Berkulit</v>
      </c>
      <c r="G650" s="22" t="str">
        <f>IF(nutrition!$B650&gt;300,"Tinggi Kalori",IF(nutrition!$B650&gt;100,"Kalori Sedang","Rendah Kalori"))</f>
        <v>Tinggi Kalori</v>
      </c>
      <c r="H650" s="23" t="s">
        <v>654</v>
      </c>
    </row>
    <row r="651" spans="1:8" x14ac:dyDescent="0.3">
      <c r="A651" s="25">
        <v>650</v>
      </c>
      <c r="B651" s="26">
        <v>513</v>
      </c>
      <c r="C651" s="26">
        <v>175</v>
      </c>
      <c r="D651" s="26">
        <v>325</v>
      </c>
      <c r="E651" s="26">
        <v>443</v>
      </c>
      <c r="F651" s="28" t="str">
        <f>PROPER(nutrition!$H651)</f>
        <v>Kacang Tanah Rempeyek</v>
      </c>
      <c r="G651" s="26" t="str">
        <f>IF(nutrition!$B651&gt;300,"Tinggi Kalori",IF(nutrition!$B651&gt;100,"Kalori Sedang","Rendah Kalori"))</f>
        <v>Tinggi Kalori</v>
      </c>
      <c r="H651" s="27" t="s">
        <v>655</v>
      </c>
    </row>
    <row r="652" spans="1:8" x14ac:dyDescent="0.3">
      <c r="A652" s="21">
        <v>651</v>
      </c>
      <c r="B652" s="22">
        <v>569</v>
      </c>
      <c r="C652" s="22">
        <v>288</v>
      </c>
      <c r="D652" s="22">
        <v>484</v>
      </c>
      <c r="E652" s="22">
        <v>158</v>
      </c>
      <c r="F652" s="24" t="str">
        <f>PROPER(nutrition!$H652)</f>
        <v>Kacang Tanah Sangan Berselaput</v>
      </c>
      <c r="G652" s="22" t="str">
        <f>IF(nutrition!$B652&gt;300,"Tinggi Kalori",IF(nutrition!$B652&gt;100,"Kalori Sedang","Rendah Kalori"))</f>
        <v>Tinggi Kalori</v>
      </c>
      <c r="H652" s="23" t="s">
        <v>656</v>
      </c>
    </row>
    <row r="653" spans="1:8" x14ac:dyDescent="0.3">
      <c r="A653" s="25">
        <v>652</v>
      </c>
      <c r="B653" s="26">
        <v>559</v>
      </c>
      <c r="C653" s="26">
        <v>269</v>
      </c>
      <c r="D653" s="26">
        <v>442</v>
      </c>
      <c r="E653" s="26">
        <v>236</v>
      </c>
      <c r="F653" s="28" t="str">
        <f>PROPER(nutrition!$H653)</f>
        <v>Kacang Tanah Sangan Tanpa Selaput</v>
      </c>
      <c r="G653" s="26" t="str">
        <f>IF(nutrition!$B653&gt;300,"Tinggi Kalori",IF(nutrition!$B653&gt;100,"Kalori Sedang","Rendah Kalori"))</f>
        <v>Tinggi Kalori</v>
      </c>
      <c r="H653" s="27" t="s">
        <v>657</v>
      </c>
    </row>
    <row r="654" spans="1:8" x14ac:dyDescent="0.3">
      <c r="A654" s="21">
        <v>653</v>
      </c>
      <c r="B654" s="22">
        <v>561</v>
      </c>
      <c r="C654" s="22">
        <v>255</v>
      </c>
      <c r="D654" s="22">
        <v>438</v>
      </c>
      <c r="E654" s="22">
        <v>26</v>
      </c>
      <c r="F654" s="24" t="str">
        <f>PROPER(nutrition!$H654)</f>
        <v>Kacang Tanah Sari</v>
      </c>
      <c r="G654" s="22" t="str">
        <f>IF(nutrition!$B654&gt;300,"Tinggi Kalori",IF(nutrition!$B654&gt;100,"Kalori Sedang","Rendah Kalori"))</f>
        <v>Tinggi Kalori</v>
      </c>
      <c r="H654" s="23" t="s">
        <v>658</v>
      </c>
    </row>
    <row r="655" spans="1:8" x14ac:dyDescent="0.3">
      <c r="A655" s="25">
        <v>654</v>
      </c>
      <c r="B655" s="26">
        <v>748</v>
      </c>
      <c r="C655" s="26">
        <v>208</v>
      </c>
      <c r="D655" s="26">
        <v>208</v>
      </c>
      <c r="E655" s="26">
        <v>1248</v>
      </c>
      <c r="F655" s="28" t="str">
        <f>PROPER(nutrition!$H655)</f>
        <v xml:space="preserve">Kacang Telur </v>
      </c>
      <c r="G655" s="26" t="str">
        <f>IF(nutrition!$B655&gt;300,"Tinggi Kalori",IF(nutrition!$B655&gt;100,"Kalori Sedang","Rendah Kalori"))</f>
        <v>Tinggi Kalori</v>
      </c>
      <c r="H655" s="27" t="s">
        <v>659</v>
      </c>
    </row>
    <row r="656" spans="1:8" x14ac:dyDescent="0.3">
      <c r="A656" s="21">
        <v>655</v>
      </c>
      <c r="B656" s="22">
        <v>331</v>
      </c>
      <c r="C656" s="22">
        <v>244</v>
      </c>
      <c r="D656" s="22">
        <v>19</v>
      </c>
      <c r="E656" s="22">
        <v>566</v>
      </c>
      <c r="F656" s="24" t="str">
        <f>PROPER(nutrition!$H656)</f>
        <v>Kacang Tolo / Tunggak Kering</v>
      </c>
      <c r="G656" s="22" t="str">
        <f>IF(nutrition!$B656&gt;300,"Tinggi Kalori",IF(nutrition!$B656&gt;100,"Kalori Sedang","Rendah Kalori"))</f>
        <v>Tinggi Kalori</v>
      </c>
      <c r="H656" s="23" t="s">
        <v>660</v>
      </c>
    </row>
    <row r="657" spans="1:8" x14ac:dyDescent="0.3">
      <c r="A657" s="25">
        <v>656</v>
      </c>
      <c r="B657" s="26">
        <v>138</v>
      </c>
      <c r="C657" s="26">
        <v>107</v>
      </c>
      <c r="D657" s="26">
        <v>11</v>
      </c>
      <c r="E657" s="26">
        <v>226</v>
      </c>
      <c r="F657" s="28" t="str">
        <f>PROPER(nutrition!$H657)</f>
        <v>Kacang Tolo Rebus</v>
      </c>
      <c r="G657" s="26" t="str">
        <f>IF(nutrition!$B657&gt;300,"Tinggi Kalori",IF(nutrition!$B657&gt;100,"Kalori Sedang","Rendah Kalori"))</f>
        <v>Kalori Sedang</v>
      </c>
      <c r="H657" s="27" t="s">
        <v>661</v>
      </c>
    </row>
    <row r="658" spans="1:8" x14ac:dyDescent="0.3">
      <c r="A658" s="21">
        <v>657</v>
      </c>
      <c r="B658" s="22">
        <v>342</v>
      </c>
      <c r="C658" s="22">
        <v>229</v>
      </c>
      <c r="D658" s="22">
        <v>14</v>
      </c>
      <c r="E658" s="22">
        <v>616</v>
      </c>
      <c r="F658" s="24" t="str">
        <f>PROPER(nutrition!$H658)</f>
        <v>Kacang Tunggak (Tolo)</v>
      </c>
      <c r="G658" s="22" t="str">
        <f>IF(nutrition!$B658&gt;300,"Tinggi Kalori",IF(nutrition!$B658&gt;100,"Kalori Sedang","Rendah Kalori"))</f>
        <v>Tinggi Kalori</v>
      </c>
      <c r="H658" s="23" t="s">
        <v>662</v>
      </c>
    </row>
    <row r="659" spans="1:8" x14ac:dyDescent="0.3">
      <c r="A659" s="25">
        <v>658</v>
      </c>
      <c r="B659" s="26">
        <v>138</v>
      </c>
      <c r="C659" s="26">
        <v>107</v>
      </c>
      <c r="D659" s="26">
        <v>11</v>
      </c>
      <c r="E659" s="26">
        <v>226</v>
      </c>
      <c r="F659" s="28" t="str">
        <f>PROPER(nutrition!$H659)</f>
        <v>Kacang Tunggak Rebus</v>
      </c>
      <c r="G659" s="26" t="str">
        <f>IF(nutrition!$B659&gt;300,"Tinggi Kalori",IF(nutrition!$B659&gt;100,"Kalori Sedang","Rendah Kalori"))</f>
        <v>Kalori Sedang</v>
      </c>
      <c r="H659" s="27" t="s">
        <v>663</v>
      </c>
    </row>
    <row r="660" spans="1:8" x14ac:dyDescent="0.3">
      <c r="A660" s="21">
        <v>659</v>
      </c>
      <c r="B660" s="22">
        <v>451</v>
      </c>
      <c r="C660" s="22">
        <v>112</v>
      </c>
      <c r="D660" s="22">
        <v>202</v>
      </c>
      <c r="E660" s="22">
        <v>597</v>
      </c>
      <c r="F660" s="24" t="str">
        <f>PROPER(nutrition!$H660)</f>
        <v>Kacang Tunggak Rempeyek</v>
      </c>
      <c r="G660" s="22" t="str">
        <f>IF(nutrition!$B660&gt;300,"Tinggi Kalori",IF(nutrition!$B660&gt;100,"Kalori Sedang","Rendah Kalori"))</f>
        <v>Tinggi Kalori</v>
      </c>
      <c r="H660" s="23" t="s">
        <v>664</v>
      </c>
    </row>
    <row r="661" spans="1:8" x14ac:dyDescent="0.3">
      <c r="A661" s="25">
        <v>660</v>
      </c>
      <c r="B661" s="26">
        <v>351</v>
      </c>
      <c r="C661" s="26">
        <v>122</v>
      </c>
      <c r="D661" s="26">
        <v>12</v>
      </c>
      <c r="E661" s="26">
        <v>729</v>
      </c>
      <c r="F661" s="28" t="str">
        <f>PROPER(nutrition!$H661)</f>
        <v>Kacang Tunis Kering</v>
      </c>
      <c r="G661" s="26" t="str">
        <f>IF(nutrition!$B661&gt;300,"Tinggi Kalori",IF(nutrition!$B661&gt;100,"Kalori Sedang","Rendah Kalori"))</f>
        <v>Tinggi Kalori</v>
      </c>
      <c r="H661" s="27" t="s">
        <v>665</v>
      </c>
    </row>
    <row r="662" spans="1:8" x14ac:dyDescent="0.3">
      <c r="A662" s="21">
        <v>661</v>
      </c>
      <c r="B662" s="22">
        <v>358</v>
      </c>
      <c r="C662" s="22">
        <v>234</v>
      </c>
      <c r="D662" s="22">
        <v>24</v>
      </c>
      <c r="E662" s="22">
        <v>606</v>
      </c>
      <c r="F662" s="24" t="str">
        <f>PROPER(nutrition!$H662)</f>
        <v>Kacang Uci Kering</v>
      </c>
      <c r="G662" s="22" t="str">
        <f>IF(nutrition!$B662&gt;300,"Tinggi Kalori",IF(nutrition!$B662&gt;100,"Kalori Sedang","Rendah Kalori"))</f>
        <v>Tinggi Kalori</v>
      </c>
      <c r="H662" s="23" t="s">
        <v>666</v>
      </c>
    </row>
    <row r="663" spans="1:8" x14ac:dyDescent="0.3">
      <c r="A663" s="25">
        <v>662</v>
      </c>
      <c r="B663" s="26">
        <v>354</v>
      </c>
      <c r="C663" s="26">
        <v>128</v>
      </c>
      <c r="D663" s="26">
        <v>18</v>
      </c>
      <c r="E663" s="26">
        <v>693</v>
      </c>
      <c r="F663" s="28" t="str">
        <f>PROPER(nutrition!$H663)</f>
        <v>Kacang Urei Kering</v>
      </c>
      <c r="G663" s="26" t="str">
        <f>IF(nutrition!$B663&gt;300,"Tinggi Kalori",IF(nutrition!$B663&gt;100,"Kalori Sedang","Rendah Kalori"))</f>
        <v>Tinggi Kalori</v>
      </c>
      <c r="H663" s="27" t="s">
        <v>667</v>
      </c>
    </row>
    <row r="664" spans="1:8" x14ac:dyDescent="0.3">
      <c r="A664" s="21">
        <v>663</v>
      </c>
      <c r="B664" s="22">
        <v>110</v>
      </c>
      <c r="C664" s="22">
        <v>45</v>
      </c>
      <c r="D664" s="22">
        <v>69</v>
      </c>
      <c r="E664" s="22">
        <v>71</v>
      </c>
      <c r="F664" s="24" t="str">
        <f>PROPER(nutrition!$H664)</f>
        <v>Kadada Katembe</v>
      </c>
      <c r="G664" s="22" t="str">
        <f>IF(nutrition!$B664&gt;300,"Tinggi Kalori",IF(nutrition!$B664&gt;100,"Kalori Sedang","Rendah Kalori"))</f>
        <v>Kalori Sedang</v>
      </c>
      <c r="H664" s="23" t="s">
        <v>668</v>
      </c>
    </row>
    <row r="665" spans="1:8" x14ac:dyDescent="0.3">
      <c r="A665" s="25">
        <v>664</v>
      </c>
      <c r="B665" s="26">
        <v>413</v>
      </c>
      <c r="C665" s="26">
        <v>287</v>
      </c>
      <c r="D665" s="26">
        <v>198</v>
      </c>
      <c r="E665" s="26">
        <v>298</v>
      </c>
      <c r="F665" s="28" t="str">
        <f>PROPER(nutrition!$H665)</f>
        <v>Kaholeo Masakan</v>
      </c>
      <c r="G665" s="26" t="str">
        <f>IF(nutrition!$B665&gt;300,"Tinggi Kalori",IF(nutrition!$B665&gt;100,"Kalori Sedang","Rendah Kalori"))</f>
        <v>Tinggi Kalori</v>
      </c>
      <c r="H665" s="27" t="s">
        <v>669</v>
      </c>
    </row>
    <row r="666" spans="1:8" x14ac:dyDescent="0.3">
      <c r="A666" s="21">
        <v>665</v>
      </c>
      <c r="B666" s="22">
        <v>92</v>
      </c>
      <c r="C666" s="22">
        <v>20</v>
      </c>
      <c r="D666" s="22">
        <v>7</v>
      </c>
      <c r="E666" s="22">
        <v>0</v>
      </c>
      <c r="F666" s="24" t="str">
        <f>PROPER(nutrition!$H666)</f>
        <v>Kakap</v>
      </c>
      <c r="G666" s="22" t="str">
        <f>IF(nutrition!$B666&gt;300,"Tinggi Kalori",IF(nutrition!$B666&gt;100,"Kalori Sedang","Rendah Kalori"))</f>
        <v>Rendah Kalori</v>
      </c>
      <c r="H666" s="23" t="s">
        <v>670</v>
      </c>
    </row>
    <row r="667" spans="1:8" x14ac:dyDescent="0.3">
      <c r="A667" s="25">
        <v>666</v>
      </c>
      <c r="B667" s="26">
        <v>66</v>
      </c>
      <c r="C667" s="26">
        <v>28</v>
      </c>
      <c r="D667" s="26">
        <v>68</v>
      </c>
      <c r="E667" s="26">
        <v>34</v>
      </c>
      <c r="F667" s="28" t="str">
        <f>PROPER(nutrition!$H667)</f>
        <v>Kalakai</v>
      </c>
      <c r="G667" s="26" t="str">
        <f>IF(nutrition!$B667&gt;300,"Tinggi Kalori",IF(nutrition!$B667&gt;100,"Kalori Sedang","Rendah Kalori"))</f>
        <v>Rendah Kalori</v>
      </c>
      <c r="H667" s="27" t="s">
        <v>671</v>
      </c>
    </row>
    <row r="668" spans="1:8" x14ac:dyDescent="0.3">
      <c r="A668" s="21">
        <v>667</v>
      </c>
      <c r="B668" s="22">
        <v>163</v>
      </c>
      <c r="C668" s="22">
        <v>165</v>
      </c>
      <c r="D668" s="22">
        <v>9</v>
      </c>
      <c r="E668" s="22">
        <v>41</v>
      </c>
      <c r="F668" s="24" t="str">
        <f>PROPER(nutrition!$H668)</f>
        <v>Kalio Jeroan Masakan</v>
      </c>
      <c r="G668" s="22" t="str">
        <f>IF(nutrition!$B668&gt;300,"Tinggi Kalori",IF(nutrition!$B668&gt;100,"Kalori Sedang","Rendah Kalori"))</f>
        <v>Kalori Sedang</v>
      </c>
      <c r="H668" s="23" t="s">
        <v>672</v>
      </c>
    </row>
    <row r="669" spans="1:8" x14ac:dyDescent="0.3">
      <c r="A669" s="25">
        <v>668</v>
      </c>
      <c r="B669" s="26">
        <v>122</v>
      </c>
      <c r="C669" s="26">
        <v>138</v>
      </c>
      <c r="D669" s="26">
        <v>57</v>
      </c>
      <c r="E669" s="26">
        <v>39</v>
      </c>
      <c r="F669" s="28" t="str">
        <f>PROPER(nutrition!$H669)</f>
        <v>Kalio Kikil (Tunjang) Masakan</v>
      </c>
      <c r="G669" s="26" t="str">
        <f>IF(nutrition!$B669&gt;300,"Tinggi Kalori",IF(nutrition!$B669&gt;100,"Kalori Sedang","Rendah Kalori"))</f>
        <v>Kalori Sedang</v>
      </c>
      <c r="H669" s="27" t="s">
        <v>673</v>
      </c>
    </row>
    <row r="670" spans="1:8" x14ac:dyDescent="0.3">
      <c r="A670" s="21">
        <v>669</v>
      </c>
      <c r="B670" s="22">
        <v>157</v>
      </c>
      <c r="C670" s="22">
        <v>81</v>
      </c>
      <c r="D670" s="22">
        <v>88</v>
      </c>
      <c r="E670" s="22">
        <v>114</v>
      </c>
      <c r="F670" s="24" t="str">
        <f>PROPER(nutrition!$H670)</f>
        <v>Kalio Otak Masakan</v>
      </c>
      <c r="G670" s="22" t="str">
        <f>IF(nutrition!$B670&gt;300,"Tinggi Kalori",IF(nutrition!$B670&gt;100,"Kalori Sedang","Rendah Kalori"))</f>
        <v>Kalori Sedang</v>
      </c>
      <c r="H670" s="23" t="s">
        <v>674</v>
      </c>
    </row>
    <row r="671" spans="1:8" x14ac:dyDescent="0.3">
      <c r="A671" s="25">
        <v>670</v>
      </c>
      <c r="B671" s="26">
        <v>193</v>
      </c>
      <c r="C671" s="26">
        <v>106</v>
      </c>
      <c r="D671" s="26">
        <v>124</v>
      </c>
      <c r="E671" s="26">
        <v>97</v>
      </c>
      <c r="F671" s="28" t="str">
        <f>PROPER(nutrition!$H671)</f>
        <v>Kalio Telur Masakan</v>
      </c>
      <c r="G671" s="26" t="str">
        <f>IF(nutrition!$B671&gt;300,"Tinggi Kalori",IF(nutrition!$B671&gt;100,"Kalori Sedang","Rendah Kalori"))</f>
        <v>Kalori Sedang</v>
      </c>
      <c r="H671" s="27" t="s">
        <v>675</v>
      </c>
    </row>
    <row r="672" spans="1:8" x14ac:dyDescent="0.3">
      <c r="A672" s="21">
        <v>671</v>
      </c>
      <c r="B672" s="22">
        <v>149</v>
      </c>
      <c r="C672" s="22">
        <v>166</v>
      </c>
      <c r="D672" s="22">
        <v>92</v>
      </c>
      <c r="E672" s="22">
        <v>0</v>
      </c>
      <c r="F672" s="24" t="str">
        <f>PROPER(nutrition!$H672)</f>
        <v>Kambing Daging Segar</v>
      </c>
      <c r="G672" s="22" t="str">
        <f>IF(nutrition!$B672&gt;300,"Tinggi Kalori",IF(nutrition!$B672&gt;100,"Kalori Sedang","Rendah Kalori"))</f>
        <v>Kalori Sedang</v>
      </c>
      <c r="H672" s="23" t="s">
        <v>676</v>
      </c>
    </row>
    <row r="673" spans="1:8" x14ac:dyDescent="0.3">
      <c r="A673" s="25">
        <v>672</v>
      </c>
      <c r="B673" s="26">
        <v>164</v>
      </c>
      <c r="C673" s="26">
        <v>3</v>
      </c>
      <c r="D673" s="26">
        <v>24</v>
      </c>
      <c r="E673" s="26">
        <v>326</v>
      </c>
      <c r="F673" s="28" t="str">
        <f>PROPER(nutrition!$H673)</f>
        <v>Kambose</v>
      </c>
      <c r="G673" s="26" t="str">
        <f>IF(nutrition!$B673&gt;300,"Tinggi Kalori",IF(nutrition!$B673&gt;100,"Kalori Sedang","Rendah Kalori"))</f>
        <v>Kalori Sedang</v>
      </c>
      <c r="H673" s="27" t="s">
        <v>677</v>
      </c>
    </row>
    <row r="674" spans="1:8" x14ac:dyDescent="0.3">
      <c r="A674" s="21">
        <v>673</v>
      </c>
      <c r="B674" s="22">
        <v>29</v>
      </c>
      <c r="C674" s="22">
        <v>3</v>
      </c>
      <c r="D674" s="22">
        <v>3</v>
      </c>
      <c r="E674" s="22">
        <v>54</v>
      </c>
      <c r="F674" s="24" t="str">
        <f>PROPER(nutrition!$H674)</f>
        <v>Kangkung</v>
      </c>
      <c r="G674" s="22" t="str">
        <f>IF(nutrition!$B674&gt;300,"Tinggi Kalori",IF(nutrition!$B674&gt;100,"Kalori Sedang","Rendah Kalori"))</f>
        <v>Rendah Kalori</v>
      </c>
      <c r="H674" s="23" t="s">
        <v>678</v>
      </c>
    </row>
    <row r="675" spans="1:8" x14ac:dyDescent="0.3">
      <c r="A675" s="25">
        <v>674</v>
      </c>
      <c r="B675" s="26">
        <v>30</v>
      </c>
      <c r="C675" s="26">
        <v>32</v>
      </c>
      <c r="D675" s="26">
        <v>7</v>
      </c>
      <c r="E675" s="26">
        <v>47</v>
      </c>
      <c r="F675" s="28" t="str">
        <f>PROPER(nutrition!$H675)</f>
        <v>Kangkung Kukus</v>
      </c>
      <c r="G675" s="26" t="str">
        <f>IF(nutrition!$B675&gt;300,"Tinggi Kalori",IF(nutrition!$B675&gt;100,"Kalori Sedang","Rendah Kalori"))</f>
        <v>Rendah Kalori</v>
      </c>
      <c r="H675" s="27" t="s">
        <v>679</v>
      </c>
    </row>
    <row r="676" spans="1:8" x14ac:dyDescent="0.3">
      <c r="A676" s="21">
        <v>675</v>
      </c>
      <c r="B676" s="22">
        <v>22</v>
      </c>
      <c r="C676" s="22">
        <v>25</v>
      </c>
      <c r="D676" s="22">
        <v>6</v>
      </c>
      <c r="E676" s="22">
        <v>31</v>
      </c>
      <c r="F676" s="24" t="str">
        <f>PROPER(nutrition!$H676)</f>
        <v>Kangkung Rebus</v>
      </c>
      <c r="G676" s="22" t="str">
        <f>IF(nutrition!$B676&gt;300,"Tinggi Kalori",IF(nutrition!$B676&gt;100,"Kalori Sedang","Rendah Kalori"))</f>
        <v>Rendah Kalori</v>
      </c>
      <c r="H676" s="23" t="s">
        <v>680</v>
      </c>
    </row>
    <row r="677" spans="1:8" x14ac:dyDescent="0.3">
      <c r="A677" s="25">
        <v>676</v>
      </c>
      <c r="B677" s="26">
        <v>43</v>
      </c>
      <c r="C677" s="26">
        <v>18</v>
      </c>
      <c r="D677" s="26">
        <v>2</v>
      </c>
      <c r="E677" s="26">
        <v>84</v>
      </c>
      <c r="F677" s="28" t="str">
        <f>PROPER(nutrition!$H677)</f>
        <v>Kangkung Tondano</v>
      </c>
      <c r="G677" s="26" t="str">
        <f>IF(nutrition!$B677&gt;300,"Tinggi Kalori",IF(nutrition!$B677&gt;100,"Kalori Sedang","Rendah Kalori"))</f>
        <v>Rendah Kalori</v>
      </c>
      <c r="H677" s="27" t="s">
        <v>681</v>
      </c>
    </row>
    <row r="678" spans="1:8" x14ac:dyDescent="0.3">
      <c r="A678" s="21">
        <v>677</v>
      </c>
      <c r="B678" s="22">
        <v>52</v>
      </c>
      <c r="C678" s="22">
        <v>18</v>
      </c>
      <c r="D678" s="22">
        <v>36</v>
      </c>
      <c r="E678" s="22">
        <v>3</v>
      </c>
      <c r="F678" s="24" t="str">
        <f>PROPER(nutrition!$H678)</f>
        <v>Kangkung Tumis</v>
      </c>
      <c r="G678" s="22" t="str">
        <f>IF(nutrition!$B678&gt;300,"Tinggi Kalori",IF(nutrition!$B678&gt;100,"Kalori Sedang","Rendah Kalori"))</f>
        <v>Rendah Kalori</v>
      </c>
      <c r="H678" s="23" t="s">
        <v>682</v>
      </c>
    </row>
    <row r="679" spans="1:8" x14ac:dyDescent="0.3">
      <c r="A679" s="25">
        <v>678</v>
      </c>
      <c r="B679" s="26">
        <v>38</v>
      </c>
      <c r="C679" s="26">
        <v>24</v>
      </c>
      <c r="D679" s="26">
        <v>2</v>
      </c>
      <c r="E679" s="26">
        <v>26</v>
      </c>
      <c r="F679" s="28" t="str">
        <f>PROPER(nutrition!$H679)</f>
        <v>Kaparende Sayur</v>
      </c>
      <c r="G679" s="26" t="str">
        <f>IF(nutrition!$B679&gt;300,"Tinggi Kalori",IF(nutrition!$B679&gt;100,"Kalori Sedang","Rendah Kalori"))</f>
        <v>Rendah Kalori</v>
      </c>
      <c r="H679" s="27" t="s">
        <v>683</v>
      </c>
    </row>
    <row r="680" spans="1:8" x14ac:dyDescent="0.3">
      <c r="A680" s="21">
        <v>679</v>
      </c>
      <c r="B680" s="22">
        <v>42</v>
      </c>
      <c r="C680" s="22">
        <v>33</v>
      </c>
      <c r="D680" s="22">
        <v>2</v>
      </c>
      <c r="E680" s="22">
        <v>96</v>
      </c>
      <c r="F680" s="24" t="str">
        <f>PROPER(nutrition!$H680)</f>
        <v>Kapri Muda</v>
      </c>
      <c r="G680" s="22" t="str">
        <f>IF(nutrition!$B680&gt;300,"Tinggi Kalori",IF(nutrition!$B680&gt;100,"Kalori Sedang","Rendah Kalori"))</f>
        <v>Rendah Kalori</v>
      </c>
      <c r="H680" s="23" t="s">
        <v>684</v>
      </c>
    </row>
    <row r="681" spans="1:8" x14ac:dyDescent="0.3">
      <c r="A681" s="25">
        <v>680</v>
      </c>
      <c r="B681" s="26">
        <v>41</v>
      </c>
      <c r="C681" s="26">
        <v>2</v>
      </c>
      <c r="D681" s="26">
        <v>3</v>
      </c>
      <c r="E681" s="26">
        <v>78</v>
      </c>
      <c r="F681" s="28" t="str">
        <f>PROPER(nutrition!$H681)</f>
        <v>Kapurung</v>
      </c>
      <c r="G681" s="26" t="str">
        <f>IF(nutrition!$B681&gt;300,"Tinggi Kalori",IF(nutrition!$B681&gt;100,"Kalori Sedang","Rendah Kalori"))</f>
        <v>Rendah Kalori</v>
      </c>
      <c r="H681" s="27" t="s">
        <v>685</v>
      </c>
    </row>
    <row r="682" spans="1:8" x14ac:dyDescent="0.3">
      <c r="A682" s="21">
        <v>681</v>
      </c>
      <c r="B682" s="22">
        <v>158</v>
      </c>
      <c r="C682" s="22">
        <v>44</v>
      </c>
      <c r="D682" s="22">
        <v>32</v>
      </c>
      <c r="E682" s="22">
        <v>278</v>
      </c>
      <c r="F682" s="24" t="str">
        <f>PROPER(nutrition!$H682)</f>
        <v>Kapusa</v>
      </c>
      <c r="G682" s="22" t="str">
        <f>IF(nutrition!$B682&gt;300,"Tinggi Kalori",IF(nutrition!$B682&gt;100,"Kalori Sedang","Rendah Kalori"))</f>
        <v>Kalori Sedang</v>
      </c>
      <c r="H682" s="23" t="s">
        <v>686</v>
      </c>
    </row>
    <row r="683" spans="1:8" x14ac:dyDescent="0.3">
      <c r="A683" s="25">
        <v>682</v>
      </c>
      <c r="B683" s="26">
        <v>25</v>
      </c>
      <c r="C683" s="26">
        <v>23</v>
      </c>
      <c r="D683" s="26">
        <v>2</v>
      </c>
      <c r="E683" s="26">
        <v>35</v>
      </c>
      <c r="F683" s="28" t="str">
        <f>PROPER(nutrition!$H683)</f>
        <v>Karawila</v>
      </c>
      <c r="G683" s="26" t="str">
        <f>IF(nutrition!$B683&gt;300,"Tinggi Kalori",IF(nutrition!$B683&gt;100,"Kalori Sedang","Rendah Kalori"))</f>
        <v>Rendah Kalori</v>
      </c>
      <c r="H683" s="27" t="s">
        <v>687</v>
      </c>
    </row>
    <row r="684" spans="1:8" x14ac:dyDescent="0.3">
      <c r="A684" s="21">
        <v>683</v>
      </c>
      <c r="B684" s="22">
        <v>1467</v>
      </c>
      <c r="C684" s="22">
        <v>59</v>
      </c>
      <c r="D684" s="22">
        <v>59</v>
      </c>
      <c r="E684" s="22">
        <v>197</v>
      </c>
      <c r="F684" s="24" t="str">
        <f>PROPER(nutrition!$H684)</f>
        <v xml:space="preserve">Karedok </v>
      </c>
      <c r="G684" s="22" t="str">
        <f>IF(nutrition!$B684&gt;300,"Tinggi Kalori",IF(nutrition!$B684&gt;100,"Kalori Sedang","Rendah Kalori"))</f>
        <v>Tinggi Kalori</v>
      </c>
      <c r="H684" s="23" t="s">
        <v>688</v>
      </c>
    </row>
    <row r="685" spans="1:8" x14ac:dyDescent="0.3">
      <c r="A685" s="25">
        <v>684</v>
      </c>
      <c r="B685" s="26">
        <v>92</v>
      </c>
      <c r="C685" s="26">
        <v>22</v>
      </c>
      <c r="D685" s="26">
        <v>33</v>
      </c>
      <c r="E685" s="26">
        <v>141</v>
      </c>
      <c r="F685" s="28" t="str">
        <f>PROPER(nutrition!$H685)</f>
        <v>Karedok Sayur</v>
      </c>
      <c r="G685" s="26" t="str">
        <f>IF(nutrition!$B685&gt;300,"Tinggi Kalori",IF(nutrition!$B685&gt;100,"Kalori Sedang","Rendah Kalori"))</f>
        <v>Rendah Kalori</v>
      </c>
      <c r="H685" s="27" t="s">
        <v>689</v>
      </c>
    </row>
    <row r="686" spans="1:8" x14ac:dyDescent="0.3">
      <c r="A686" s="21">
        <v>685</v>
      </c>
      <c r="B686" s="22">
        <v>292</v>
      </c>
      <c r="C686" s="22">
        <v>112</v>
      </c>
      <c r="D686" s="22">
        <v>112</v>
      </c>
      <c r="E686" s="22">
        <v>28</v>
      </c>
      <c r="F686" s="24" t="str">
        <f>PROPER(nutrition!$H686)</f>
        <v xml:space="preserve">Karoket </v>
      </c>
      <c r="G686" s="22" t="str">
        <f>IF(nutrition!$B686&gt;300,"Tinggi Kalori",IF(nutrition!$B686&gt;100,"Kalori Sedang","Rendah Kalori"))</f>
        <v>Kalori Sedang</v>
      </c>
      <c r="H686" s="23" t="s">
        <v>690</v>
      </c>
    </row>
    <row r="687" spans="1:8" x14ac:dyDescent="0.3">
      <c r="A687" s="25">
        <v>686</v>
      </c>
      <c r="B687" s="26">
        <v>73</v>
      </c>
      <c r="C687" s="26">
        <v>164</v>
      </c>
      <c r="D687" s="26">
        <v>3</v>
      </c>
      <c r="E687" s="26">
        <v>0</v>
      </c>
      <c r="F687" s="28" t="str">
        <f>PROPER(nutrition!$H687)</f>
        <v>Katak</v>
      </c>
      <c r="G687" s="26" t="str">
        <f>IF(nutrition!$B687&gt;300,"Tinggi Kalori",IF(nutrition!$B687&gt;100,"Kalori Sedang","Rendah Kalori"))</f>
        <v>Rendah Kalori</v>
      </c>
      <c r="H687" s="27" t="s">
        <v>691</v>
      </c>
    </row>
    <row r="688" spans="1:8" x14ac:dyDescent="0.3">
      <c r="A688" s="21">
        <v>687</v>
      </c>
      <c r="B688" s="22">
        <v>275</v>
      </c>
      <c r="C688" s="22">
        <v>126</v>
      </c>
      <c r="D688" s="22">
        <v>148</v>
      </c>
      <c r="E688" s="22">
        <v>546</v>
      </c>
      <c r="F688" s="24" t="str">
        <f>PROPER(nutrition!$H688)</f>
        <v>Katul Beras</v>
      </c>
      <c r="G688" s="22" t="str">
        <f>IF(nutrition!$B688&gt;300,"Tinggi Kalori",IF(nutrition!$B688&gt;100,"Kalori Sedang","Rendah Kalori"))</f>
        <v>Kalori Sedang</v>
      </c>
      <c r="H688" s="23" t="s">
        <v>692</v>
      </c>
    </row>
    <row r="689" spans="1:8" x14ac:dyDescent="0.3">
      <c r="A689" s="25">
        <v>688</v>
      </c>
      <c r="B689" s="26">
        <v>356</v>
      </c>
      <c r="C689" s="26">
        <v>9</v>
      </c>
      <c r="D689" s="26">
        <v>85</v>
      </c>
      <c r="E689" s="26">
        <v>645</v>
      </c>
      <c r="F689" s="28" t="str">
        <f>PROPER(nutrition!$H689)</f>
        <v>Katul Jagung</v>
      </c>
      <c r="G689" s="26" t="str">
        <f>IF(nutrition!$B689&gt;300,"Tinggi Kalori",IF(nutrition!$B689&gt;100,"Kalori Sedang","Rendah Kalori"))</f>
        <v>Tinggi Kalori</v>
      </c>
      <c r="H689" s="27" t="s">
        <v>693</v>
      </c>
    </row>
    <row r="690" spans="1:8" x14ac:dyDescent="0.3">
      <c r="A690" s="21">
        <v>689</v>
      </c>
      <c r="B690" s="22">
        <v>120</v>
      </c>
      <c r="C690" s="22">
        <v>35</v>
      </c>
      <c r="D690" s="22">
        <v>25</v>
      </c>
      <c r="E690" s="22">
        <v>208</v>
      </c>
      <c r="F690" s="24" t="str">
        <f>PROPER(nutrition!$H690)</f>
        <v>Kawista Segar</v>
      </c>
      <c r="G690" s="22" t="str">
        <f>IF(nutrition!$B690&gt;300,"Tinggi Kalori",IF(nutrition!$B690&gt;100,"Kalori Sedang","Rendah Kalori"))</f>
        <v>Kalori Sedang</v>
      </c>
      <c r="H690" s="23" t="s">
        <v>694</v>
      </c>
    </row>
    <row r="691" spans="1:8" x14ac:dyDescent="0.3">
      <c r="A691" s="25">
        <v>690</v>
      </c>
      <c r="B691" s="26">
        <v>46</v>
      </c>
      <c r="C691" s="26">
        <v>57</v>
      </c>
      <c r="D691" s="26">
        <v>13</v>
      </c>
      <c r="E691" s="26">
        <v>9</v>
      </c>
      <c r="F691" s="28" t="str">
        <f>PROPER(nutrition!$H691)</f>
        <v>Kecap</v>
      </c>
      <c r="G691" s="26" t="str">
        <f>IF(nutrition!$B691&gt;300,"Tinggi Kalori",IF(nutrition!$B691&gt;100,"Kalori Sedang","Rendah Kalori"))</f>
        <v>Rendah Kalori</v>
      </c>
      <c r="H691" s="27" t="s">
        <v>695</v>
      </c>
    </row>
    <row r="692" spans="1:8" x14ac:dyDescent="0.3">
      <c r="A692" s="21">
        <v>691</v>
      </c>
      <c r="B692" s="22">
        <v>464</v>
      </c>
      <c r="C692" s="22">
        <v>12</v>
      </c>
      <c r="D692" s="22">
        <v>186</v>
      </c>
      <c r="E692" s="22">
        <v>73</v>
      </c>
      <c r="F692" s="24" t="str">
        <f>PROPER(nutrition!$H692)</f>
        <v>Kecimpring Singkong Goreng</v>
      </c>
      <c r="G692" s="22" t="str">
        <f>IF(nutrition!$B692&gt;300,"Tinggi Kalori",IF(nutrition!$B692&gt;100,"Kalori Sedang","Rendah Kalori"))</f>
        <v>Tinggi Kalori</v>
      </c>
      <c r="H692" s="23" t="s">
        <v>696</v>
      </c>
    </row>
    <row r="693" spans="1:8" x14ac:dyDescent="0.3">
      <c r="A693" s="25">
        <v>692</v>
      </c>
      <c r="B693" s="26">
        <v>405</v>
      </c>
      <c r="C693" s="26">
        <v>328</v>
      </c>
      <c r="D693" s="26">
        <v>17</v>
      </c>
      <c r="E693" s="26">
        <v>365</v>
      </c>
      <c r="F693" s="28" t="str">
        <f>PROPER(nutrition!$H693)</f>
        <v>Kecipir Biji</v>
      </c>
      <c r="G693" s="26" t="str">
        <f>IF(nutrition!$B693&gt;300,"Tinggi Kalori",IF(nutrition!$B693&gt;100,"Kalori Sedang","Rendah Kalori"))</f>
        <v>Tinggi Kalori</v>
      </c>
      <c r="H693" s="27" t="s">
        <v>697</v>
      </c>
    </row>
    <row r="694" spans="1:8" x14ac:dyDescent="0.3">
      <c r="A694" s="21">
        <v>693</v>
      </c>
      <c r="B694" s="22">
        <v>35</v>
      </c>
      <c r="C694" s="22">
        <v>29</v>
      </c>
      <c r="D694" s="22">
        <v>2</v>
      </c>
      <c r="E694" s="22">
        <v>8</v>
      </c>
      <c r="F694" s="24" t="str">
        <f>PROPER(nutrition!$H694)</f>
        <v>Kecipir Buah Muda</v>
      </c>
      <c r="G694" s="22" t="str">
        <f>IF(nutrition!$B694&gt;300,"Tinggi Kalori",IF(nutrition!$B694&gt;100,"Kalori Sedang","Rendah Kalori"))</f>
        <v>Rendah Kalori</v>
      </c>
      <c r="H694" s="23" t="s">
        <v>698</v>
      </c>
    </row>
    <row r="695" spans="1:8" x14ac:dyDescent="0.3">
      <c r="A695" s="25">
        <v>694</v>
      </c>
      <c r="B695" s="26">
        <v>32</v>
      </c>
      <c r="C695" s="26">
        <v>29</v>
      </c>
      <c r="D695" s="26">
        <v>2</v>
      </c>
      <c r="E695" s="26">
        <v>58</v>
      </c>
      <c r="F695" s="28" t="str">
        <f>PROPER(nutrition!$H695)</f>
        <v>Kecipir Muda Segar</v>
      </c>
      <c r="G695" s="26" t="str">
        <f>IF(nutrition!$B695&gt;300,"Tinggi Kalori",IF(nutrition!$B695&gt;100,"Kalori Sedang","Rendah Kalori"))</f>
        <v>Rendah Kalori</v>
      </c>
      <c r="H695" s="27" t="s">
        <v>699</v>
      </c>
    </row>
    <row r="696" spans="1:8" x14ac:dyDescent="0.3">
      <c r="A696" s="21">
        <v>695</v>
      </c>
      <c r="B696" s="22">
        <v>34</v>
      </c>
      <c r="C696" s="22">
        <v>9</v>
      </c>
      <c r="D696" s="22">
        <v>1</v>
      </c>
      <c r="E696" s="22">
        <v>67</v>
      </c>
      <c r="F696" s="24" t="str">
        <f>PROPER(nutrition!$H696)</f>
        <v>Kecombrang Segar</v>
      </c>
      <c r="G696" s="22" t="str">
        <f>IF(nutrition!$B696&gt;300,"Tinggi Kalori",IF(nutrition!$B696&gt;100,"Kalori Sedang","Rendah Kalori"))</f>
        <v>Rendah Kalori</v>
      </c>
      <c r="H696" s="23" t="s">
        <v>700</v>
      </c>
    </row>
    <row r="697" spans="1:8" x14ac:dyDescent="0.3">
      <c r="A697" s="25">
        <v>696</v>
      </c>
      <c r="B697" s="26">
        <v>47</v>
      </c>
      <c r="C697" s="26">
        <v>5</v>
      </c>
      <c r="D697" s="26">
        <v>2</v>
      </c>
      <c r="E697" s="26">
        <v>104</v>
      </c>
      <c r="F697" s="28" t="str">
        <f>PROPER(nutrition!$H697)</f>
        <v xml:space="preserve">Kedondong Segar </v>
      </c>
      <c r="G697" s="26" t="str">
        <f>IF(nutrition!$B697&gt;300,"Tinggi Kalori",IF(nutrition!$B697&gt;100,"Kalori Sedang","Rendah Kalori"))</f>
        <v>Rendah Kalori</v>
      </c>
      <c r="H697" s="27" t="s">
        <v>701</v>
      </c>
    </row>
    <row r="698" spans="1:8" x14ac:dyDescent="0.3">
      <c r="A698" s="21">
        <v>697</v>
      </c>
      <c r="B698" s="22">
        <v>326</v>
      </c>
      <c r="C698" s="22">
        <v>228</v>
      </c>
      <c r="D698" s="22">
        <v>203</v>
      </c>
      <c r="E698" s="22">
        <v>131</v>
      </c>
      <c r="F698" s="24" t="str">
        <f>PROPER(nutrition!$H698)</f>
        <v>Keju</v>
      </c>
      <c r="G698" s="22" t="str">
        <f>IF(nutrition!$B698&gt;300,"Tinggi Kalori",IF(nutrition!$B698&gt;100,"Kalori Sedang","Rendah Kalori"))</f>
        <v>Tinggi Kalori</v>
      </c>
      <c r="H698" s="23" t="s">
        <v>702</v>
      </c>
    </row>
    <row r="699" spans="1:8" x14ac:dyDescent="0.3">
      <c r="A699" s="25">
        <v>698</v>
      </c>
      <c r="B699" s="26">
        <v>590</v>
      </c>
      <c r="C699" s="26">
        <v>27</v>
      </c>
      <c r="D699" s="26">
        <v>49</v>
      </c>
      <c r="E699" s="26">
        <v>209</v>
      </c>
      <c r="F699" s="28" t="str">
        <f>PROPER(nutrition!$H699)</f>
        <v>Keju Kacang Tanah</v>
      </c>
      <c r="G699" s="26" t="str">
        <f>IF(nutrition!$B699&gt;300,"Tinggi Kalori",IF(nutrition!$B699&gt;100,"Kalori Sedang","Rendah Kalori"))</f>
        <v>Tinggi Kalori</v>
      </c>
      <c r="H699" s="27" t="s">
        <v>703</v>
      </c>
    </row>
    <row r="700" spans="1:8" x14ac:dyDescent="0.3">
      <c r="A700" s="21">
        <v>699</v>
      </c>
      <c r="B700" s="22">
        <v>623</v>
      </c>
      <c r="C700" s="22">
        <v>2</v>
      </c>
      <c r="D700" s="22">
        <v>521</v>
      </c>
      <c r="E700" s="22">
        <v>365</v>
      </c>
      <c r="F700" s="24" t="str">
        <f>PROPER(nutrition!$H700)</f>
        <v>Kelapa Hutan Kering</v>
      </c>
      <c r="G700" s="22" t="str">
        <f>IF(nutrition!$B700&gt;300,"Tinggi Kalori",IF(nutrition!$B700&gt;100,"Kalori Sedang","Rendah Kalori"))</f>
        <v>Tinggi Kalori</v>
      </c>
      <c r="H700" s="23" t="s">
        <v>704</v>
      </c>
    </row>
    <row r="701" spans="1:8" x14ac:dyDescent="0.3">
      <c r="A701" s="25">
        <v>700</v>
      </c>
      <c r="B701" s="26">
        <v>17</v>
      </c>
      <c r="C701" s="26">
        <v>2</v>
      </c>
      <c r="D701" s="26">
        <v>1</v>
      </c>
      <c r="E701" s="26">
        <v>38</v>
      </c>
      <c r="F701" s="28" t="str">
        <f>PROPER(nutrition!$H701)</f>
        <v>Kelapa Muda Air</v>
      </c>
      <c r="G701" s="26" t="str">
        <f>IF(nutrition!$B701&gt;300,"Tinggi Kalori",IF(nutrition!$B701&gt;100,"Kalori Sedang","Rendah Kalori"))</f>
        <v>Rendah Kalori</v>
      </c>
      <c r="H701" s="27" t="s">
        <v>705</v>
      </c>
    </row>
    <row r="702" spans="1:8" x14ac:dyDescent="0.3">
      <c r="A702" s="21">
        <v>701</v>
      </c>
      <c r="B702" s="22">
        <v>68</v>
      </c>
      <c r="C702" s="22">
        <v>1</v>
      </c>
      <c r="D702" s="22">
        <v>9</v>
      </c>
      <c r="E702" s="22">
        <v>14</v>
      </c>
      <c r="F702" s="24" t="str">
        <f>PROPER(nutrition!$H702)</f>
        <v>Kelapa Muda Daging</v>
      </c>
      <c r="G702" s="22" t="str">
        <f>IF(nutrition!$B702&gt;300,"Tinggi Kalori",IF(nutrition!$B702&gt;100,"Kalori Sedang","Rendah Kalori"))</f>
        <v>Rendah Kalori</v>
      </c>
      <c r="H702" s="23" t="s">
        <v>706</v>
      </c>
    </row>
    <row r="703" spans="1:8" x14ac:dyDescent="0.3">
      <c r="A703" s="25">
        <v>702</v>
      </c>
      <c r="B703" s="26">
        <v>180</v>
      </c>
      <c r="C703" s="26">
        <v>4</v>
      </c>
      <c r="D703" s="26">
        <v>15</v>
      </c>
      <c r="E703" s="26">
        <v>10</v>
      </c>
      <c r="F703" s="28" t="str">
        <f>PROPER(nutrition!$H703)</f>
        <v>Kelapa Setengah Tua Daging</v>
      </c>
      <c r="G703" s="26" t="str">
        <f>IF(nutrition!$B703&gt;300,"Tinggi Kalori",IF(nutrition!$B703&gt;100,"Kalori Sedang","Rendah Kalori"))</f>
        <v>Kalori Sedang</v>
      </c>
      <c r="H703" s="27" t="s">
        <v>707</v>
      </c>
    </row>
    <row r="704" spans="1:8" x14ac:dyDescent="0.3">
      <c r="A704" s="21">
        <v>703</v>
      </c>
      <c r="B704" s="22">
        <v>359</v>
      </c>
      <c r="C704" s="22">
        <v>34</v>
      </c>
      <c r="D704" s="22">
        <v>347</v>
      </c>
      <c r="E704" s="22">
        <v>14</v>
      </c>
      <c r="F704" s="24" t="str">
        <f>PROPER(nutrition!$H704)</f>
        <v>Kelapa Tua Daging</v>
      </c>
      <c r="G704" s="22" t="str">
        <f>IF(nutrition!$B704&gt;300,"Tinggi Kalori",IF(nutrition!$B704&gt;100,"Kalori Sedang","Rendah Kalori"))</f>
        <v>Tinggi Kalori</v>
      </c>
      <c r="H704" s="23" t="s">
        <v>708</v>
      </c>
    </row>
    <row r="705" spans="1:8" x14ac:dyDescent="0.3">
      <c r="A705" s="25">
        <v>704</v>
      </c>
      <c r="B705" s="26">
        <v>214</v>
      </c>
      <c r="C705" s="26">
        <v>54</v>
      </c>
      <c r="D705" s="26">
        <v>54</v>
      </c>
      <c r="E705" s="26">
        <v>402</v>
      </c>
      <c r="F705" s="28" t="str">
        <f>PROPER(nutrition!$H705)</f>
        <v xml:space="preserve">Kelepon </v>
      </c>
      <c r="G705" s="26" t="str">
        <f>IF(nutrition!$B705&gt;300,"Tinggi Kalori",IF(nutrition!$B705&gt;100,"Kalori Sedang","Rendah Kalori"))</f>
        <v>Kalori Sedang</v>
      </c>
      <c r="H705" s="27" t="s">
        <v>709</v>
      </c>
    </row>
    <row r="706" spans="1:8" x14ac:dyDescent="0.3">
      <c r="A706" s="21">
        <v>705</v>
      </c>
      <c r="B706" s="22">
        <v>111</v>
      </c>
      <c r="C706" s="22">
        <v>15</v>
      </c>
      <c r="D706" s="22">
        <v>3</v>
      </c>
      <c r="E706" s="22">
        <v>272</v>
      </c>
      <c r="F706" s="24" t="str">
        <f>PROPER(nutrition!$H706)</f>
        <v>Kelewih</v>
      </c>
      <c r="G706" s="22" t="str">
        <f>IF(nutrition!$B706&gt;300,"Tinggi Kalori",IF(nutrition!$B706&gt;100,"Kalori Sedang","Rendah Kalori"))</f>
        <v>Kalori Sedang</v>
      </c>
      <c r="H706" s="23" t="s">
        <v>710</v>
      </c>
    </row>
    <row r="707" spans="1:8" x14ac:dyDescent="0.3">
      <c r="A707" s="25">
        <v>706</v>
      </c>
      <c r="B707" s="26">
        <v>142</v>
      </c>
      <c r="C707" s="26">
        <v>169</v>
      </c>
      <c r="D707" s="26">
        <v>78</v>
      </c>
      <c r="E707" s="26">
        <v>0</v>
      </c>
      <c r="F707" s="28" t="str">
        <f>PROPER(nutrition!$H707)</f>
        <v>Kelinci Daging Segar</v>
      </c>
      <c r="G707" s="26" t="str">
        <f>IF(nutrition!$B707&gt;300,"Tinggi Kalori",IF(nutrition!$B707&gt;100,"Kalori Sedang","Rendah Kalori"))</f>
        <v>Kalori Sedang</v>
      </c>
      <c r="H707" s="27" t="s">
        <v>711</v>
      </c>
    </row>
    <row r="708" spans="1:8" x14ac:dyDescent="0.3">
      <c r="A708" s="21">
        <v>707</v>
      </c>
      <c r="B708" s="22">
        <v>48</v>
      </c>
      <c r="C708" s="22">
        <v>1</v>
      </c>
      <c r="D708" s="22">
        <v>2</v>
      </c>
      <c r="E708" s="22">
        <v>119</v>
      </c>
      <c r="F708" s="24" t="str">
        <f>PROPER(nutrition!$H708)</f>
        <v>Kemang</v>
      </c>
      <c r="G708" s="22" t="str">
        <f>IF(nutrition!$B708&gt;300,"Tinggi Kalori",IF(nutrition!$B708&gt;100,"Kalori Sedang","Rendah Kalori"))</f>
        <v>Rendah Kalori</v>
      </c>
      <c r="H708" s="23" t="s">
        <v>712</v>
      </c>
    </row>
    <row r="709" spans="1:8" x14ac:dyDescent="0.3">
      <c r="A709" s="25">
        <v>708</v>
      </c>
      <c r="B709" s="26">
        <v>380</v>
      </c>
      <c r="C709" s="26">
        <v>489</v>
      </c>
      <c r="D709" s="26">
        <v>138</v>
      </c>
      <c r="E709" s="26">
        <v>233</v>
      </c>
      <c r="F709" s="28" t="str">
        <f>PROPER(nutrition!$H709)</f>
        <v>Kembang Tahu</v>
      </c>
      <c r="G709" s="26" t="str">
        <f>IF(nutrition!$B709&gt;300,"Tinggi Kalori",IF(nutrition!$B709&gt;100,"Kalori Sedang","Rendah Kalori"))</f>
        <v>Tinggi Kalori</v>
      </c>
      <c r="H709" s="27" t="s">
        <v>713</v>
      </c>
    </row>
    <row r="710" spans="1:8" x14ac:dyDescent="0.3">
      <c r="A710" s="21">
        <v>709</v>
      </c>
      <c r="B710" s="22">
        <v>44</v>
      </c>
      <c r="C710" s="22">
        <v>18</v>
      </c>
      <c r="D710" s="22">
        <v>6</v>
      </c>
      <c r="E710" s="22">
        <v>96</v>
      </c>
      <c r="F710" s="24" t="str">
        <f>PROPER(nutrition!$H710)</f>
        <v>Kembang Turi</v>
      </c>
      <c r="G710" s="22" t="str">
        <f>IF(nutrition!$B710&gt;300,"Tinggi Kalori",IF(nutrition!$B710&gt;100,"Kalori Sedang","Rendah Kalori"))</f>
        <v>Rendah Kalori</v>
      </c>
      <c r="H710" s="23" t="s">
        <v>714</v>
      </c>
    </row>
    <row r="711" spans="1:8" x14ac:dyDescent="0.3">
      <c r="A711" s="25">
        <v>710</v>
      </c>
      <c r="B711" s="26">
        <v>636</v>
      </c>
      <c r="C711" s="26">
        <v>19</v>
      </c>
      <c r="D711" s="26">
        <v>63</v>
      </c>
      <c r="E711" s="26">
        <v>8</v>
      </c>
      <c r="F711" s="28" t="str">
        <f>PROPER(nutrition!$H711)</f>
        <v>Kemiri</v>
      </c>
      <c r="G711" s="26" t="str">
        <f>IF(nutrition!$B711&gt;300,"Tinggi Kalori",IF(nutrition!$B711&gt;100,"Kalori Sedang","Rendah Kalori"))</f>
        <v>Tinggi Kalori</v>
      </c>
      <c r="H711" s="27" t="s">
        <v>715</v>
      </c>
    </row>
    <row r="712" spans="1:8" x14ac:dyDescent="0.3">
      <c r="A712" s="21">
        <v>711</v>
      </c>
      <c r="B712" s="22">
        <v>657</v>
      </c>
      <c r="C712" s="22">
        <v>15</v>
      </c>
      <c r="D712" s="22">
        <v>66</v>
      </c>
      <c r="E712" s="22">
        <v>13</v>
      </c>
      <c r="F712" s="24" t="str">
        <f>PROPER(nutrition!$H712)</f>
        <v>Kenari</v>
      </c>
      <c r="G712" s="22" t="str">
        <f>IF(nutrition!$B712&gt;300,"Tinggi Kalori",IF(nutrition!$B712&gt;100,"Kalori Sedang","Rendah Kalori"))</f>
        <v>Tinggi Kalori</v>
      </c>
      <c r="H712" s="23" t="s">
        <v>716</v>
      </c>
    </row>
    <row r="713" spans="1:8" x14ac:dyDescent="0.3">
      <c r="A713" s="25">
        <v>712</v>
      </c>
      <c r="B713" s="26">
        <v>616</v>
      </c>
      <c r="C713" s="26">
        <v>139</v>
      </c>
      <c r="D713" s="26">
        <v>562</v>
      </c>
      <c r="E713" s="26">
        <v>137</v>
      </c>
      <c r="F713" s="28" t="str">
        <f>PROPER(nutrition!$H713)</f>
        <v>Kenari Banda Kering</v>
      </c>
      <c r="G713" s="26" t="str">
        <f>IF(nutrition!$B713&gt;300,"Tinggi Kalori",IF(nutrition!$B713&gt;100,"Kalori Sedang","Rendah Kalori"))</f>
        <v>Tinggi Kalori</v>
      </c>
      <c r="H713" s="27" t="s">
        <v>717</v>
      </c>
    </row>
    <row r="714" spans="1:8" x14ac:dyDescent="0.3">
      <c r="A714" s="21">
        <v>713</v>
      </c>
      <c r="B714" s="22">
        <v>83</v>
      </c>
      <c r="C714" s="22">
        <v>2</v>
      </c>
      <c r="D714" s="22">
        <v>1</v>
      </c>
      <c r="E714" s="22">
        <v>191</v>
      </c>
      <c r="F714" s="24" t="str">
        <f>PROPER(nutrition!$H714)</f>
        <v>Kentang</v>
      </c>
      <c r="G714" s="22" t="str">
        <f>IF(nutrition!$B714&gt;300,"Tinggi Kalori",IF(nutrition!$B714&gt;100,"Kalori Sedang","Rendah Kalori"))</f>
        <v>Rendah Kalori</v>
      </c>
      <c r="H714" s="23" t="s">
        <v>718</v>
      </c>
    </row>
    <row r="715" spans="1:8" x14ac:dyDescent="0.3">
      <c r="A715" s="25">
        <v>714</v>
      </c>
      <c r="B715" s="26">
        <v>142</v>
      </c>
      <c r="C715" s="26">
        <v>9</v>
      </c>
      <c r="D715" s="26">
        <v>4</v>
      </c>
      <c r="E715" s="26">
        <v>337</v>
      </c>
      <c r="F715" s="28" t="str">
        <f>PROPER(nutrition!$H715)</f>
        <v>Kentang Hitam</v>
      </c>
      <c r="G715" s="26" t="str">
        <f>IF(nutrition!$B715&gt;300,"Tinggi Kalori",IF(nutrition!$B715&gt;100,"Kalori Sedang","Rendah Kalori"))</f>
        <v>Kalori Sedang</v>
      </c>
      <c r="H715" s="27" t="s">
        <v>719</v>
      </c>
    </row>
    <row r="716" spans="1:8" x14ac:dyDescent="0.3">
      <c r="A716" s="21">
        <v>715</v>
      </c>
      <c r="B716" s="22">
        <v>64</v>
      </c>
      <c r="C716" s="22">
        <v>12</v>
      </c>
      <c r="D716" s="22">
        <v>1</v>
      </c>
      <c r="E716" s="22">
        <v>2</v>
      </c>
      <c r="F716" s="24" t="str">
        <f>PROPER(nutrition!$H716)</f>
        <v>Keong</v>
      </c>
      <c r="G716" s="22" t="str">
        <f>IF(nutrition!$B716&gt;300,"Tinggi Kalori",IF(nutrition!$B716&gt;100,"Kalori Sedang","Rendah Kalori"))</f>
        <v>Rendah Kalori</v>
      </c>
      <c r="H716" s="23" t="s">
        <v>720</v>
      </c>
    </row>
    <row r="717" spans="1:8" x14ac:dyDescent="0.3">
      <c r="A717" s="25">
        <v>716</v>
      </c>
      <c r="B717" s="26">
        <v>204</v>
      </c>
      <c r="C717" s="26">
        <v>26</v>
      </c>
      <c r="D717" s="26">
        <v>20</v>
      </c>
      <c r="E717" s="26">
        <v>4</v>
      </c>
      <c r="F717" s="28" t="str">
        <f>PROPER(nutrition!$H717)</f>
        <v>Kepala Susu (Krim)</v>
      </c>
      <c r="G717" s="26" t="str">
        <f>IF(nutrition!$B717&gt;300,"Tinggi Kalori",IF(nutrition!$B717&gt;100,"Kalori Sedang","Rendah Kalori"))</f>
        <v>Kalori Sedang</v>
      </c>
      <c r="H717" s="27" t="s">
        <v>721</v>
      </c>
    </row>
    <row r="718" spans="1:8" x14ac:dyDescent="0.3">
      <c r="A718" s="21">
        <v>717</v>
      </c>
      <c r="B718" s="22">
        <v>151</v>
      </c>
      <c r="C718" s="22">
        <v>138</v>
      </c>
      <c r="D718" s="22">
        <v>38</v>
      </c>
      <c r="E718" s="22">
        <v>141</v>
      </c>
      <c r="F718" s="24" t="str">
        <f>PROPER(nutrition!$H718)</f>
        <v>Kepiting</v>
      </c>
      <c r="G718" s="22" t="str">
        <f>IF(nutrition!$B718&gt;300,"Tinggi Kalori",IF(nutrition!$B718&gt;100,"Kalori Sedang","Rendah Kalori"))</f>
        <v>Kalori Sedang</v>
      </c>
      <c r="H718" s="23" t="s">
        <v>722</v>
      </c>
    </row>
    <row r="719" spans="1:8" x14ac:dyDescent="0.3">
      <c r="A719" s="25">
        <v>718</v>
      </c>
      <c r="B719" s="26">
        <v>59</v>
      </c>
      <c r="C719" s="26">
        <v>18</v>
      </c>
      <c r="D719" s="26">
        <v>11</v>
      </c>
      <c r="E719" s="26">
        <v>36</v>
      </c>
      <c r="F719" s="28" t="str">
        <f>PROPER(nutrition!$H719)</f>
        <v>Kerang</v>
      </c>
      <c r="G719" s="26" t="str">
        <f>IF(nutrition!$B719&gt;300,"Tinggi Kalori",IF(nutrition!$B719&gt;100,"Kalori Sedang","Rendah Kalori"))</f>
        <v>Rendah Kalori</v>
      </c>
      <c r="H719" s="27" t="s">
        <v>723</v>
      </c>
    </row>
    <row r="720" spans="1:8" x14ac:dyDescent="0.3">
      <c r="A720" s="21">
        <v>719</v>
      </c>
      <c r="B720" s="22">
        <v>393</v>
      </c>
      <c r="C720" s="22">
        <v>389</v>
      </c>
      <c r="D720" s="22">
        <v>133</v>
      </c>
      <c r="E720" s="22">
        <v>294</v>
      </c>
      <c r="F720" s="24" t="str">
        <f>PROPER(nutrition!$H720)</f>
        <v>Kerang Asap Mentah</v>
      </c>
      <c r="G720" s="22" t="str">
        <f>IF(nutrition!$B720&gt;300,"Tinggi Kalori",IF(nutrition!$B720&gt;100,"Kalori Sedang","Rendah Kalori"))</f>
        <v>Tinggi Kalori</v>
      </c>
      <c r="H720" s="23" t="s">
        <v>724</v>
      </c>
    </row>
    <row r="721" spans="1:8" x14ac:dyDescent="0.3">
      <c r="A721" s="25">
        <v>720</v>
      </c>
      <c r="B721" s="26">
        <v>357</v>
      </c>
      <c r="C721" s="26">
        <v>411</v>
      </c>
      <c r="D721" s="26">
        <v>10</v>
      </c>
      <c r="E721" s="26">
        <v>256</v>
      </c>
      <c r="F721" s="28" t="str">
        <f>PROPER(nutrition!$H721)</f>
        <v>Kerang Dendeng Mentah</v>
      </c>
      <c r="G721" s="26" t="str">
        <f>IF(nutrition!$B721&gt;300,"Tinggi Kalori",IF(nutrition!$B721&gt;100,"Kalori Sedang","Rendah Kalori"))</f>
        <v>Tinggi Kalori</v>
      </c>
      <c r="H721" s="27" t="s">
        <v>725</v>
      </c>
    </row>
    <row r="722" spans="1:8" x14ac:dyDescent="0.3">
      <c r="A722" s="21">
        <v>721</v>
      </c>
      <c r="B722" s="22">
        <v>79</v>
      </c>
      <c r="C722" s="22">
        <v>187</v>
      </c>
      <c r="D722" s="22">
        <v>5</v>
      </c>
      <c r="E722" s="22">
        <v>0</v>
      </c>
      <c r="F722" s="24" t="str">
        <f>PROPER(nutrition!$H722)</f>
        <v>Kerbau Daging Segar</v>
      </c>
      <c r="G722" s="22" t="str">
        <f>IF(nutrition!$B722&gt;300,"Tinggi Kalori",IF(nutrition!$B722&gt;100,"Kalori Sedang","Rendah Kalori"))</f>
        <v>Rendah Kalori</v>
      </c>
      <c r="H722" s="23" t="s">
        <v>726</v>
      </c>
    </row>
    <row r="723" spans="1:8" x14ac:dyDescent="0.3">
      <c r="A723" s="25">
        <v>722</v>
      </c>
      <c r="B723" s="26">
        <v>475</v>
      </c>
      <c r="C723" s="26">
        <v>16</v>
      </c>
      <c r="D723" s="26">
        <v>255</v>
      </c>
      <c r="E723" s="26">
        <v>644</v>
      </c>
      <c r="F723" s="28" t="str">
        <f>PROPER(nutrition!$H723)</f>
        <v>Keremes</v>
      </c>
      <c r="G723" s="26" t="str">
        <f>IF(nutrition!$B723&gt;300,"Tinggi Kalori",IF(nutrition!$B723&gt;100,"Kalori Sedang","Rendah Kalori"))</f>
        <v>Tinggi Kalori</v>
      </c>
      <c r="H723" s="27" t="s">
        <v>727</v>
      </c>
    </row>
    <row r="724" spans="1:8" x14ac:dyDescent="0.3">
      <c r="A724" s="21">
        <v>723</v>
      </c>
      <c r="B724" s="22">
        <v>137</v>
      </c>
      <c r="C724" s="22">
        <v>13</v>
      </c>
      <c r="D724" s="22">
        <v>11</v>
      </c>
      <c r="E724" s="22">
        <v>298</v>
      </c>
      <c r="F724" s="24" t="str">
        <f>PROPER(nutrition!$H724)</f>
        <v>Keribang Ubi Segar</v>
      </c>
      <c r="G724" s="22" t="str">
        <f>IF(nutrition!$B724&gt;300,"Tinggi Kalori",IF(nutrition!$B724&gt;100,"Kalori Sedang","Rendah Kalori"))</f>
        <v>Kalori Sedang</v>
      </c>
      <c r="H724" s="23" t="s">
        <v>728</v>
      </c>
    </row>
    <row r="725" spans="1:8" x14ac:dyDescent="0.3">
      <c r="A725" s="25">
        <v>724</v>
      </c>
      <c r="B725" s="26">
        <v>586</v>
      </c>
      <c r="C725" s="26">
        <v>49</v>
      </c>
      <c r="D725" s="26">
        <v>406</v>
      </c>
      <c r="E725" s="26">
        <v>502</v>
      </c>
      <c r="F725" s="28" t="str">
        <f>PROPER(nutrition!$H725)</f>
        <v>Keripik Bayam</v>
      </c>
      <c r="G725" s="26" t="str">
        <f>IF(nutrition!$B725&gt;300,"Tinggi Kalori",IF(nutrition!$B725&gt;100,"Kalori Sedang","Rendah Kalori"))</f>
        <v>Tinggi Kalori</v>
      </c>
      <c r="H725" s="27" t="s">
        <v>729</v>
      </c>
    </row>
    <row r="726" spans="1:8" x14ac:dyDescent="0.3">
      <c r="A726" s="21">
        <v>725</v>
      </c>
      <c r="B726" s="22">
        <v>446</v>
      </c>
      <c r="C726" s="22">
        <v>28</v>
      </c>
      <c r="D726" s="22">
        <v>145</v>
      </c>
      <c r="E726" s="22">
        <v>76</v>
      </c>
      <c r="F726" s="24" t="str">
        <f>PROPER(nutrition!$H726)</f>
        <v>Keripik Gadung</v>
      </c>
      <c r="G726" s="22" t="str">
        <f>IF(nutrition!$B726&gt;300,"Tinggi Kalori",IF(nutrition!$B726&gt;100,"Kalori Sedang","Rendah Kalori"))</f>
        <v>Tinggi Kalori</v>
      </c>
      <c r="H726" s="23" t="s">
        <v>730</v>
      </c>
    </row>
    <row r="727" spans="1:8" x14ac:dyDescent="0.3">
      <c r="A727" s="25">
        <v>726</v>
      </c>
      <c r="B727" s="26">
        <v>448</v>
      </c>
      <c r="C727" s="26">
        <v>27</v>
      </c>
      <c r="D727" s="26">
        <v>188</v>
      </c>
      <c r="E727" s="26">
        <v>671</v>
      </c>
      <c r="F727" s="28" t="str">
        <f>PROPER(nutrition!$H727)</f>
        <v>Keripik Kentang</v>
      </c>
      <c r="G727" s="26" t="str">
        <f>IF(nutrition!$B727&gt;300,"Tinggi Kalori",IF(nutrition!$B727&gt;100,"Kalori Sedang","Rendah Kalori"))</f>
        <v>Tinggi Kalori</v>
      </c>
      <c r="H727" s="27" t="s">
        <v>731</v>
      </c>
    </row>
    <row r="728" spans="1:8" x14ac:dyDescent="0.3">
      <c r="A728" s="21">
        <v>727</v>
      </c>
      <c r="B728" s="22">
        <v>485</v>
      </c>
      <c r="C728" s="22">
        <v>17</v>
      </c>
      <c r="D728" s="22">
        <v>222</v>
      </c>
      <c r="E728" s="22">
        <v>697</v>
      </c>
      <c r="F728" s="24" t="str">
        <f>PROPER(nutrition!$H728)</f>
        <v>Keripik Lampung</v>
      </c>
      <c r="G728" s="22" t="str">
        <f>IF(nutrition!$B728&gt;300,"Tinggi Kalori",IF(nutrition!$B728&gt;100,"Kalori Sedang","Rendah Kalori"))</f>
        <v>Tinggi Kalori</v>
      </c>
      <c r="H728" s="23" t="s">
        <v>732</v>
      </c>
    </row>
    <row r="729" spans="1:8" x14ac:dyDescent="0.3">
      <c r="A729" s="25">
        <v>728</v>
      </c>
      <c r="B729" s="26">
        <v>598</v>
      </c>
      <c r="C729" s="26">
        <v>83</v>
      </c>
      <c r="D729" s="26">
        <v>438</v>
      </c>
      <c r="E729" s="26">
        <v>426</v>
      </c>
      <c r="F729" s="28" t="str">
        <f>PROPER(nutrition!$H729)</f>
        <v>Keripik Oncom</v>
      </c>
      <c r="G729" s="26" t="str">
        <f>IF(nutrition!$B729&gt;300,"Tinggi Kalori",IF(nutrition!$B729&gt;100,"Kalori Sedang","Rendah Kalori"))</f>
        <v>Tinggi Kalori</v>
      </c>
      <c r="H729" s="27" t="s">
        <v>733</v>
      </c>
    </row>
    <row r="730" spans="1:8" x14ac:dyDescent="0.3">
      <c r="A730" s="21">
        <v>729</v>
      </c>
      <c r="B730" s="22">
        <v>478</v>
      </c>
      <c r="C730" s="22">
        <v>9</v>
      </c>
      <c r="D730" s="22">
        <v>207</v>
      </c>
      <c r="E730" s="22">
        <v>72</v>
      </c>
      <c r="F730" s="24" t="str">
        <f>PROPER(nutrition!$H730)</f>
        <v>Keripik Singkong</v>
      </c>
      <c r="G730" s="22" t="str">
        <f>IF(nutrition!$B730&gt;300,"Tinggi Kalori",IF(nutrition!$B730&gt;100,"Kalori Sedang","Rendah Kalori"))</f>
        <v>Tinggi Kalori</v>
      </c>
      <c r="H730" s="23" t="s">
        <v>734</v>
      </c>
    </row>
    <row r="731" spans="1:8" x14ac:dyDescent="0.3">
      <c r="A731" s="25">
        <v>730</v>
      </c>
      <c r="B731" s="26">
        <v>481</v>
      </c>
      <c r="C731" s="26">
        <v>22</v>
      </c>
      <c r="D731" s="26">
        <v>197</v>
      </c>
      <c r="E731" s="26">
        <v>736</v>
      </c>
      <c r="F731" s="28" t="str">
        <f>PROPER(nutrition!$H731)</f>
        <v>Keripik Singkong Berbumbu</v>
      </c>
      <c r="G731" s="26" t="str">
        <f>IF(nutrition!$B731&gt;300,"Tinggi Kalori",IF(nutrition!$B731&gt;100,"Kalori Sedang","Rendah Kalori"))</f>
        <v>Tinggi Kalori</v>
      </c>
      <c r="H731" s="27" t="s">
        <v>735</v>
      </c>
    </row>
    <row r="732" spans="1:8" x14ac:dyDescent="0.3">
      <c r="A732" s="21">
        <v>731</v>
      </c>
      <c r="B732" s="22">
        <v>581</v>
      </c>
      <c r="C732" s="22">
        <v>121</v>
      </c>
      <c r="D732" s="22">
        <v>406</v>
      </c>
      <c r="E732" s="22">
        <v>417</v>
      </c>
      <c r="F732" s="24" t="str">
        <f>PROPER(nutrition!$H732)</f>
        <v>Keripik Tempe</v>
      </c>
      <c r="G732" s="22" t="str">
        <f>IF(nutrition!$B732&gt;300,"Tinggi Kalori",IF(nutrition!$B732&gt;100,"Kalori Sedang","Rendah Kalori"))</f>
        <v>Tinggi Kalori</v>
      </c>
      <c r="H732" s="23" t="s">
        <v>736</v>
      </c>
    </row>
    <row r="733" spans="1:8" x14ac:dyDescent="0.3">
      <c r="A733" s="25">
        <v>732</v>
      </c>
      <c r="B733" s="26">
        <v>542</v>
      </c>
      <c r="C733" s="26">
        <v>403</v>
      </c>
      <c r="D733" s="26">
        <v>424</v>
      </c>
      <c r="E733" s="26">
        <v>116</v>
      </c>
      <c r="F733" s="28" t="str">
        <f>PROPER(nutrition!$H733)</f>
        <v>Keripik Tempe Abadi Murni</v>
      </c>
      <c r="G733" s="26" t="str">
        <f>IF(nutrition!$B733&gt;300,"Tinggi Kalori",IF(nutrition!$B733&gt;100,"Kalori Sedang","Rendah Kalori"))</f>
        <v>Tinggi Kalori</v>
      </c>
      <c r="H733" s="27" t="s">
        <v>737</v>
      </c>
    </row>
    <row r="734" spans="1:8" x14ac:dyDescent="0.3">
      <c r="A734" s="21">
        <v>733</v>
      </c>
      <c r="B734" s="22">
        <v>510</v>
      </c>
      <c r="C734" s="22">
        <v>123</v>
      </c>
      <c r="D734" s="22">
        <v>279</v>
      </c>
      <c r="E734" s="22">
        <v>524</v>
      </c>
      <c r="F734" s="24" t="str">
        <f>PROPER(nutrition!$H734)</f>
        <v>Keripik Tempe Abadi Sedang</v>
      </c>
      <c r="G734" s="22" t="str">
        <f>IF(nutrition!$B734&gt;300,"Tinggi Kalori",IF(nutrition!$B734&gt;100,"Kalori Sedang","Rendah Kalori"))</f>
        <v>Tinggi Kalori</v>
      </c>
      <c r="H734" s="23" t="s">
        <v>738</v>
      </c>
    </row>
    <row r="735" spans="1:8" x14ac:dyDescent="0.3">
      <c r="A735" s="25">
        <v>734</v>
      </c>
      <c r="B735" s="26">
        <v>529</v>
      </c>
      <c r="C735" s="26">
        <v>208</v>
      </c>
      <c r="D735" s="26">
        <v>317</v>
      </c>
      <c r="E735" s="26">
        <v>402</v>
      </c>
      <c r="F735" s="28" t="str">
        <f>PROPER(nutrition!$H735)</f>
        <v>Keripik Tempe Abadi Telur</v>
      </c>
      <c r="G735" s="26" t="str">
        <f>IF(nutrition!$B735&gt;300,"Tinggi Kalori",IF(nutrition!$B735&gt;100,"Kalori Sedang","Rendah Kalori"))</f>
        <v>Tinggi Kalori</v>
      </c>
      <c r="H735" s="27" t="s">
        <v>739</v>
      </c>
    </row>
    <row r="736" spans="1:8" x14ac:dyDescent="0.3">
      <c r="A736" s="21">
        <v>735</v>
      </c>
      <c r="B736" s="22">
        <v>486</v>
      </c>
      <c r="C736" s="22">
        <v>2</v>
      </c>
      <c r="D736" s="22">
        <v>239</v>
      </c>
      <c r="E736" s="22">
        <v>676</v>
      </c>
      <c r="F736" s="24" t="str">
        <f>PROPER(nutrition!$H736)</f>
        <v>Keripik Ubi</v>
      </c>
      <c r="G736" s="22" t="str">
        <f>IF(nutrition!$B736&gt;300,"Tinggi Kalori",IF(nutrition!$B736&gt;100,"Kalori Sedang","Rendah Kalori"))</f>
        <v>Tinggi Kalori</v>
      </c>
      <c r="H736" s="23" t="s">
        <v>740</v>
      </c>
    </row>
    <row r="737" spans="1:8" x14ac:dyDescent="0.3">
      <c r="A737" s="25">
        <v>736</v>
      </c>
      <c r="B737" s="26">
        <v>26</v>
      </c>
      <c r="C737" s="26">
        <v>17</v>
      </c>
      <c r="D737" s="26">
        <v>4</v>
      </c>
      <c r="E737" s="26">
        <v>38</v>
      </c>
      <c r="F737" s="28" t="str">
        <f>PROPER(nutrition!$H737)</f>
        <v>Kerokot Segar</v>
      </c>
      <c r="G737" s="26" t="str">
        <f>IF(nutrition!$B737&gt;300,"Tinggi Kalori",IF(nutrition!$B737&gt;100,"Kalori Sedang","Rendah Kalori"))</f>
        <v>Rendah Kalori</v>
      </c>
      <c r="H737" s="27" t="s">
        <v>741</v>
      </c>
    </row>
    <row r="738" spans="1:8" x14ac:dyDescent="0.3">
      <c r="A738" s="21">
        <v>737</v>
      </c>
      <c r="B738" s="22">
        <v>350</v>
      </c>
      <c r="C738" s="22">
        <v>5</v>
      </c>
      <c r="D738" s="22">
        <v>2</v>
      </c>
      <c r="E738" s="22">
        <v>859</v>
      </c>
      <c r="F738" s="24" t="str">
        <f>PROPER(nutrition!$H738)</f>
        <v>Kerupuk Aci</v>
      </c>
      <c r="G738" s="22" t="str">
        <f>IF(nutrition!$B738&gt;300,"Tinggi Kalori",IF(nutrition!$B738&gt;100,"Kalori Sedang","Rendah Kalori"))</f>
        <v>Tinggi Kalori</v>
      </c>
      <c r="H738" s="23" t="s">
        <v>742</v>
      </c>
    </row>
    <row r="739" spans="1:8" x14ac:dyDescent="0.3">
      <c r="A739" s="25">
        <v>738</v>
      </c>
      <c r="B739" s="26">
        <v>444</v>
      </c>
      <c r="C739" s="26">
        <v>69</v>
      </c>
      <c r="D739" s="26">
        <v>146</v>
      </c>
      <c r="E739" s="26">
        <v>713</v>
      </c>
      <c r="F739" s="28" t="str">
        <f>PROPER(nutrition!$H739)</f>
        <v>Kerupuk Cumi Goreng</v>
      </c>
      <c r="G739" s="26" t="str">
        <f>IF(nutrition!$B739&gt;300,"Tinggi Kalori",IF(nutrition!$B739&gt;100,"Kalori Sedang","Rendah Kalori"))</f>
        <v>Tinggi Kalori</v>
      </c>
      <c r="H739" s="27" t="s">
        <v>743</v>
      </c>
    </row>
    <row r="740" spans="1:8" x14ac:dyDescent="0.3">
      <c r="A740" s="21">
        <v>739</v>
      </c>
      <c r="B740" s="22">
        <v>342</v>
      </c>
      <c r="C740" s="22">
        <v>16</v>
      </c>
      <c r="D740" s="22">
        <v>4</v>
      </c>
      <c r="E740" s="22">
        <v>656</v>
      </c>
      <c r="F740" s="24" t="str">
        <f>PROPER(nutrition!$H740)</f>
        <v>Kerupuk Ikan Berpati</v>
      </c>
      <c r="G740" s="22" t="str">
        <f>IF(nutrition!$B740&gt;300,"Tinggi Kalori",IF(nutrition!$B740&gt;100,"Kalori Sedang","Rendah Kalori"))</f>
        <v>Tinggi Kalori</v>
      </c>
      <c r="H740" s="23" t="s">
        <v>744</v>
      </c>
    </row>
    <row r="741" spans="1:8" x14ac:dyDescent="0.3">
      <c r="A741" s="25">
        <v>740</v>
      </c>
      <c r="B741" s="26">
        <v>325</v>
      </c>
      <c r="C741" s="26">
        <v>18</v>
      </c>
      <c r="D741" s="26">
        <v>4</v>
      </c>
      <c r="E741" s="26">
        <v>785</v>
      </c>
      <c r="F741" s="28" t="str">
        <f>PROPER(nutrition!$H741)</f>
        <v>Kerupuk Kemplang  (Ikan) Mentah</v>
      </c>
      <c r="G741" s="26" t="str">
        <f>IF(nutrition!$B741&gt;300,"Tinggi Kalori",IF(nutrition!$B741&gt;100,"Kalori Sedang","Rendah Kalori"))</f>
        <v>Tinggi Kalori</v>
      </c>
      <c r="H741" s="27" t="s">
        <v>745</v>
      </c>
    </row>
    <row r="742" spans="1:8" x14ac:dyDescent="0.3">
      <c r="A742" s="21">
        <v>741</v>
      </c>
      <c r="B742" s="22">
        <v>504</v>
      </c>
      <c r="C742" s="22">
        <v>56</v>
      </c>
      <c r="D742" s="22">
        <v>281</v>
      </c>
      <c r="E742" s="22">
        <v>571</v>
      </c>
      <c r="F742" s="24" t="str">
        <f>PROPER(nutrition!$H742)</f>
        <v>Kerupuk Kemplang Goreng</v>
      </c>
      <c r="G742" s="22" t="str">
        <f>IF(nutrition!$B742&gt;300,"Tinggi Kalori",IF(nutrition!$B742&gt;100,"Kalori Sedang","Rendah Kalori"))</f>
        <v>Tinggi Kalori</v>
      </c>
      <c r="H742" s="23" t="s">
        <v>746</v>
      </c>
    </row>
    <row r="743" spans="1:8" x14ac:dyDescent="0.3">
      <c r="A743" s="25">
        <v>742</v>
      </c>
      <c r="B743" s="26">
        <v>356</v>
      </c>
      <c r="C743" s="26">
        <v>97</v>
      </c>
      <c r="D743" s="26">
        <v>11</v>
      </c>
      <c r="E743" s="26">
        <v>769</v>
      </c>
      <c r="F743" s="28" t="str">
        <f>PROPER(nutrition!$H743)</f>
        <v>Kerupuk Kemplang Panggang</v>
      </c>
      <c r="G743" s="26" t="str">
        <f>IF(nutrition!$B743&gt;300,"Tinggi Kalori",IF(nutrition!$B743&gt;100,"Kalori Sedang","Rendah Kalori"))</f>
        <v>Tinggi Kalori</v>
      </c>
      <c r="H743" s="27" t="s">
        <v>747</v>
      </c>
    </row>
    <row r="744" spans="1:8" x14ac:dyDescent="0.3">
      <c r="A744" s="21">
        <v>743</v>
      </c>
      <c r="B744" s="22">
        <v>422</v>
      </c>
      <c r="C744" s="22">
        <v>83</v>
      </c>
      <c r="D744" s="22">
        <v>4</v>
      </c>
      <c r="E744" s="22">
        <v>0</v>
      </c>
      <c r="F744" s="24" t="str">
        <f>PROPER(nutrition!$H744)</f>
        <v>Kerupuk Kulit Kerbau</v>
      </c>
      <c r="G744" s="22" t="str">
        <f>IF(nutrition!$B744&gt;300,"Tinggi Kalori",IF(nutrition!$B744&gt;100,"Kalori Sedang","Rendah Kalori"))</f>
        <v>Tinggi Kalori</v>
      </c>
      <c r="H744" s="23" t="s">
        <v>748</v>
      </c>
    </row>
    <row r="745" spans="1:8" x14ac:dyDescent="0.3">
      <c r="A745" s="25">
        <v>744</v>
      </c>
      <c r="B745" s="26">
        <v>345</v>
      </c>
      <c r="C745" s="26">
        <v>12</v>
      </c>
      <c r="D745" s="26">
        <v>15</v>
      </c>
      <c r="E745" s="26">
        <v>715</v>
      </c>
      <c r="F745" s="28" t="str">
        <f>PROPER(nutrition!$H745)</f>
        <v>Kerupuk Melinjo Mentah</v>
      </c>
      <c r="G745" s="26" t="str">
        <f>IF(nutrition!$B745&gt;300,"Tinggi Kalori",IF(nutrition!$B745&gt;100,"Kalori Sedang","Rendah Kalori"))</f>
        <v>Tinggi Kalori</v>
      </c>
      <c r="H745" s="27" t="s">
        <v>749</v>
      </c>
    </row>
    <row r="746" spans="1:8" x14ac:dyDescent="0.3">
      <c r="A746" s="21">
        <v>745</v>
      </c>
      <c r="B746" s="22">
        <v>431</v>
      </c>
      <c r="C746" s="22">
        <v>111</v>
      </c>
      <c r="D746" s="22">
        <v>162</v>
      </c>
      <c r="E746" s="22">
        <v>63</v>
      </c>
      <c r="F746" s="24" t="str">
        <f>PROPER(nutrition!$H746)</f>
        <v>Kerupuk Melinjo Tebal Goreng Asin</v>
      </c>
      <c r="G746" s="22" t="str">
        <f>IF(nutrition!$B746&gt;300,"Tinggi Kalori",IF(nutrition!$B746&gt;100,"Kalori Sedang","Rendah Kalori"))</f>
        <v>Tinggi Kalori</v>
      </c>
      <c r="H746" s="23" t="s">
        <v>750</v>
      </c>
    </row>
    <row r="747" spans="1:8" x14ac:dyDescent="0.3">
      <c r="A747" s="25">
        <v>746</v>
      </c>
      <c r="B747" s="26">
        <v>439</v>
      </c>
      <c r="C747" s="26">
        <v>10</v>
      </c>
      <c r="D747" s="26">
        <v>164</v>
      </c>
      <c r="E747" s="26">
        <v>657</v>
      </c>
      <c r="F747" s="28" t="str">
        <f>PROPER(nutrition!$H747)</f>
        <v>Kerupuk Melinjo Tebal Goreng Manis</v>
      </c>
      <c r="G747" s="26" t="str">
        <f>IF(nutrition!$B747&gt;300,"Tinggi Kalori",IF(nutrition!$B747&gt;100,"Kalori Sedang","Rendah Kalori"))</f>
        <v>Tinggi Kalori</v>
      </c>
      <c r="H747" s="27" t="s">
        <v>751</v>
      </c>
    </row>
    <row r="748" spans="1:8" x14ac:dyDescent="0.3">
      <c r="A748" s="21">
        <v>747</v>
      </c>
      <c r="B748" s="22">
        <v>485</v>
      </c>
      <c r="C748" s="22">
        <v>115</v>
      </c>
      <c r="D748" s="22">
        <v>245</v>
      </c>
      <c r="E748" s="22">
        <v>591</v>
      </c>
      <c r="F748" s="24" t="str">
        <f>PROPER(nutrition!$H748)</f>
        <v>Kerupuk Melinjo Tipis Goreng</v>
      </c>
      <c r="G748" s="22" t="str">
        <f>IF(nutrition!$B748&gt;300,"Tinggi Kalori",IF(nutrition!$B748&gt;100,"Kalori Sedang","Rendah Kalori"))</f>
        <v>Tinggi Kalori</v>
      </c>
      <c r="H748" s="23" t="s">
        <v>752</v>
      </c>
    </row>
    <row r="749" spans="1:8" x14ac:dyDescent="0.3">
      <c r="A749" s="25">
        <v>748</v>
      </c>
      <c r="B749" s="26">
        <v>476</v>
      </c>
      <c r="C749" s="26">
        <v>1</v>
      </c>
      <c r="D749" s="26">
        <v>211</v>
      </c>
      <c r="E749" s="26">
        <v>713</v>
      </c>
      <c r="F749" s="28" t="str">
        <f>PROPER(nutrition!$H749)</f>
        <v>Kerupuk Mie Kuning Goreng</v>
      </c>
      <c r="G749" s="26" t="str">
        <f>IF(nutrition!$B749&gt;300,"Tinggi Kalori",IF(nutrition!$B749&gt;100,"Kalori Sedang","Rendah Kalori"))</f>
        <v>Tinggi Kalori</v>
      </c>
      <c r="H749" s="27" t="s">
        <v>753</v>
      </c>
    </row>
    <row r="750" spans="1:8" x14ac:dyDescent="0.3">
      <c r="A750" s="21">
        <v>749</v>
      </c>
      <c r="B750" s="22">
        <v>467</v>
      </c>
      <c r="C750" s="22">
        <v>173</v>
      </c>
      <c r="D750" s="22">
        <v>173</v>
      </c>
      <c r="E750" s="22">
        <v>813</v>
      </c>
      <c r="F750" s="24" t="str">
        <f>PROPER(nutrition!$H750)</f>
        <v xml:space="preserve">Kerupuk Sayong </v>
      </c>
      <c r="G750" s="22" t="str">
        <f>IF(nutrition!$B750&gt;300,"Tinggi Kalori",IF(nutrition!$B750&gt;100,"Kalori Sedang","Rendah Kalori"))</f>
        <v>Tinggi Kalori</v>
      </c>
      <c r="H750" s="23" t="s">
        <v>754</v>
      </c>
    </row>
    <row r="751" spans="1:8" x14ac:dyDescent="0.3">
      <c r="A751" s="25">
        <v>750</v>
      </c>
      <c r="B751" s="26">
        <v>340</v>
      </c>
      <c r="C751" s="26">
        <v>30</v>
      </c>
      <c r="D751" s="26">
        <v>30</v>
      </c>
      <c r="E751" s="26">
        <v>52</v>
      </c>
      <c r="F751" s="28" t="str">
        <f>PROPER(nutrition!$H751)</f>
        <v xml:space="preserve">Kerupuk Udang </v>
      </c>
      <c r="G751" s="26" t="str">
        <f>IF(nutrition!$B751&gt;300,"Tinggi Kalori",IF(nutrition!$B751&gt;100,"Kalori Sedang","Rendah Kalori"))</f>
        <v>Tinggi Kalori</v>
      </c>
      <c r="H751" s="27" t="s">
        <v>755</v>
      </c>
    </row>
    <row r="752" spans="1:8" x14ac:dyDescent="0.3">
      <c r="A752" s="21">
        <v>751</v>
      </c>
      <c r="B752" s="22">
        <v>359</v>
      </c>
      <c r="C752" s="22">
        <v>172</v>
      </c>
      <c r="D752" s="22">
        <v>682</v>
      </c>
      <c r="E752" s="22">
        <v>332</v>
      </c>
      <c r="F752" s="24" t="str">
        <f>PROPER(nutrition!$H752)</f>
        <v>Kerupuk Udang Berpati</v>
      </c>
      <c r="G752" s="22" t="str">
        <f>IF(nutrition!$B752&gt;300,"Tinggi Kalori",IF(nutrition!$B752&gt;100,"Kalori Sedang","Rendah Kalori"))</f>
        <v>Tinggi Kalori</v>
      </c>
      <c r="H752" s="23" t="s">
        <v>756</v>
      </c>
    </row>
    <row r="753" spans="1:8" x14ac:dyDescent="0.3">
      <c r="A753" s="25">
        <v>752</v>
      </c>
      <c r="B753" s="26">
        <v>477</v>
      </c>
      <c r="C753" s="26">
        <v>47</v>
      </c>
      <c r="D753" s="26">
        <v>205</v>
      </c>
      <c r="E753" s="26">
        <v>685</v>
      </c>
      <c r="F753" s="28" t="str">
        <f>PROPER(nutrition!$H753)</f>
        <v>Kerupuk Udang Goreng</v>
      </c>
      <c r="G753" s="26" t="str">
        <f>IF(nutrition!$B753&gt;300,"Tinggi Kalori",IF(nutrition!$B753&gt;100,"Kalori Sedang","Rendah Kalori"))</f>
        <v>Tinggi Kalori</v>
      </c>
      <c r="H753" s="27" t="s">
        <v>757</v>
      </c>
    </row>
    <row r="754" spans="1:8" x14ac:dyDescent="0.3">
      <c r="A754" s="21">
        <v>753</v>
      </c>
      <c r="B754" s="22">
        <v>588</v>
      </c>
      <c r="C754" s="22">
        <v>537</v>
      </c>
      <c r="D754" s="22">
        <v>409</v>
      </c>
      <c r="E754" s="22">
        <v>12</v>
      </c>
      <c r="F754" s="24" t="str">
        <f>PROPER(nutrition!$H754)</f>
        <v>Kerupuk Urat</v>
      </c>
      <c r="G754" s="22" t="str">
        <f>IF(nutrition!$B754&gt;300,"Tinggi Kalori",IF(nutrition!$B754&gt;100,"Kalori Sedang","Rendah Kalori"))</f>
        <v>Tinggi Kalori</v>
      </c>
      <c r="H754" s="23" t="s">
        <v>758</v>
      </c>
    </row>
    <row r="755" spans="1:8" x14ac:dyDescent="0.3">
      <c r="A755" s="25">
        <v>754</v>
      </c>
      <c r="B755" s="26">
        <v>78</v>
      </c>
      <c r="C755" s="26">
        <v>8</v>
      </c>
      <c r="D755" s="26">
        <v>4</v>
      </c>
      <c r="E755" s="26">
        <v>20</v>
      </c>
      <c r="F755" s="28" t="str">
        <f>PROPER(nutrition!$H755)</f>
        <v>Kesemek</v>
      </c>
      <c r="G755" s="26" t="str">
        <f>IF(nutrition!$B755&gt;300,"Tinggi Kalori",IF(nutrition!$B755&gt;100,"Kalori Sedang","Rendah Kalori"))</f>
        <v>Rendah Kalori</v>
      </c>
      <c r="H755" s="27" t="s">
        <v>759</v>
      </c>
    </row>
    <row r="756" spans="1:8" x14ac:dyDescent="0.3">
      <c r="A756" s="21">
        <v>755</v>
      </c>
      <c r="B756" s="22">
        <v>181</v>
      </c>
      <c r="C756" s="22">
        <v>4</v>
      </c>
      <c r="D756" s="22">
        <v>12</v>
      </c>
      <c r="E756" s="22">
        <v>373</v>
      </c>
      <c r="F756" s="24" t="str">
        <f>PROPER(nutrition!$H756)</f>
        <v>Ketan Hitam Matang</v>
      </c>
      <c r="G756" s="22" t="str">
        <f>IF(nutrition!$B756&gt;300,"Tinggi Kalori",IF(nutrition!$B756&gt;100,"Kalori Sedang","Rendah Kalori"))</f>
        <v>Kalori Sedang</v>
      </c>
      <c r="H756" s="23" t="s">
        <v>760</v>
      </c>
    </row>
    <row r="757" spans="1:8" x14ac:dyDescent="0.3">
      <c r="A757" s="25">
        <v>756</v>
      </c>
      <c r="B757" s="26">
        <v>163</v>
      </c>
      <c r="C757" s="26">
        <v>3</v>
      </c>
      <c r="D757" s="26">
        <v>4</v>
      </c>
      <c r="E757" s="26">
        <v>357</v>
      </c>
      <c r="F757" s="28" t="str">
        <f>PROPER(nutrition!$H757)</f>
        <v>Ketan Putih Matang</v>
      </c>
      <c r="G757" s="26" t="str">
        <f>IF(nutrition!$B757&gt;300,"Tinggi Kalori",IF(nutrition!$B757&gt;100,"Kalori Sedang","Rendah Kalori"))</f>
        <v>Kalori Sedang</v>
      </c>
      <c r="H757" s="27" t="s">
        <v>761</v>
      </c>
    </row>
    <row r="758" spans="1:8" x14ac:dyDescent="0.3">
      <c r="A758" s="21">
        <v>757</v>
      </c>
      <c r="B758" s="22">
        <v>340</v>
      </c>
      <c r="C758" s="22">
        <v>11</v>
      </c>
      <c r="D758" s="22">
        <v>11</v>
      </c>
      <c r="E758" s="22">
        <v>54</v>
      </c>
      <c r="F758" s="24" t="str">
        <f>PROPER(nutrition!$H758)</f>
        <v xml:space="preserve">Ketapang </v>
      </c>
      <c r="G758" s="22" t="str">
        <f>IF(nutrition!$B758&gt;300,"Tinggi Kalori",IF(nutrition!$B758&gt;100,"Kalori Sedang","Rendah Kalori"))</f>
        <v>Tinggi Kalori</v>
      </c>
      <c r="H758" s="23" t="s">
        <v>762</v>
      </c>
    </row>
    <row r="759" spans="1:8" x14ac:dyDescent="0.3">
      <c r="A759" s="25">
        <v>758</v>
      </c>
      <c r="B759" s="26">
        <v>157</v>
      </c>
      <c r="C759" s="26">
        <v>8</v>
      </c>
      <c r="D759" s="26">
        <v>3</v>
      </c>
      <c r="E759" s="26">
        <v>379</v>
      </c>
      <c r="F759" s="28" t="str">
        <f>PROPER(nutrition!$H759)</f>
        <v>Ketela Pohon Kuning</v>
      </c>
      <c r="G759" s="26" t="str">
        <f>IF(nutrition!$B759&gt;300,"Tinggi Kalori",IF(nutrition!$B759&gt;100,"Kalori Sedang","Rendah Kalori"))</f>
        <v>Kalori Sedang</v>
      </c>
      <c r="H759" s="27" t="s">
        <v>763</v>
      </c>
    </row>
    <row r="760" spans="1:8" x14ac:dyDescent="0.3">
      <c r="A760" s="21">
        <v>759</v>
      </c>
      <c r="B760" s="22">
        <v>154</v>
      </c>
      <c r="C760" s="22">
        <v>1</v>
      </c>
      <c r="D760" s="22">
        <v>3</v>
      </c>
      <c r="E760" s="22">
        <v>368</v>
      </c>
      <c r="F760" s="24" t="str">
        <f>PROPER(nutrition!$H760)</f>
        <v>Ketela Singkong Segar</v>
      </c>
      <c r="G760" s="22" t="str">
        <f>IF(nutrition!$B760&gt;300,"Tinggi Kalori",IF(nutrition!$B760&gt;100,"Kalori Sedang","Rendah Kalori"))</f>
        <v>Kalori Sedang</v>
      </c>
      <c r="H760" s="23" t="s">
        <v>764</v>
      </c>
    </row>
    <row r="761" spans="1:8" x14ac:dyDescent="0.3">
      <c r="A761" s="25">
        <v>760</v>
      </c>
      <c r="B761" s="26">
        <v>153</v>
      </c>
      <c r="C761" s="26">
        <v>12</v>
      </c>
      <c r="D761" s="26">
        <v>3</v>
      </c>
      <c r="E761" s="26">
        <v>364</v>
      </c>
      <c r="F761" s="28" t="str">
        <f>PROPER(nutrition!$H761)</f>
        <v>Ketela Pohon/Singkong Kukus</v>
      </c>
      <c r="G761" s="26" t="str">
        <f>IF(nutrition!$B761&gt;300,"Tinggi Kalori",IF(nutrition!$B761&gt;100,"Kalori Sedang","Rendah Kalori"))</f>
        <v>Kalori Sedang</v>
      </c>
      <c r="H761" s="27" t="s">
        <v>765</v>
      </c>
    </row>
    <row r="762" spans="1:8" x14ac:dyDescent="0.3">
      <c r="A762" s="21">
        <v>761</v>
      </c>
      <c r="B762" s="22">
        <v>12</v>
      </c>
      <c r="C762" s="22">
        <v>7</v>
      </c>
      <c r="D762" s="22">
        <v>1</v>
      </c>
      <c r="E762" s="22">
        <v>27</v>
      </c>
      <c r="F762" s="24" t="str">
        <f>PROPER(nutrition!$H762)</f>
        <v>Ketimun</v>
      </c>
      <c r="G762" s="22" t="str">
        <f>IF(nutrition!$B762&gt;300,"Tinggi Kalori",IF(nutrition!$B762&gt;100,"Kalori Sedang","Rendah Kalori"))</f>
        <v>Rendah Kalori</v>
      </c>
      <c r="H762" s="23" t="s">
        <v>766</v>
      </c>
    </row>
    <row r="763" spans="1:8" x14ac:dyDescent="0.3">
      <c r="A763" s="25">
        <v>762</v>
      </c>
      <c r="B763" s="26">
        <v>9</v>
      </c>
      <c r="C763" s="26">
        <v>5</v>
      </c>
      <c r="D763" s="26">
        <v>1</v>
      </c>
      <c r="E763" s="26">
        <v>19</v>
      </c>
      <c r="F763" s="28" t="str">
        <f>PROPER(nutrition!$H763)</f>
        <v>Ketimun Madura Segar</v>
      </c>
      <c r="G763" s="26" t="str">
        <f>IF(nutrition!$B763&gt;300,"Tinggi Kalori",IF(nutrition!$B763&gt;100,"Kalori Sedang","Rendah Kalori"))</f>
        <v>Rendah Kalori</v>
      </c>
      <c r="H763" s="27" t="s">
        <v>767</v>
      </c>
    </row>
    <row r="764" spans="1:8" x14ac:dyDescent="0.3">
      <c r="A764" s="21">
        <v>763</v>
      </c>
      <c r="B764" s="22">
        <v>153</v>
      </c>
      <c r="C764" s="22">
        <v>79</v>
      </c>
      <c r="D764" s="22">
        <v>77</v>
      </c>
      <c r="E764" s="22">
        <v>13</v>
      </c>
      <c r="F764" s="24" t="str">
        <f>PROPER(nutrition!$H764)</f>
        <v>Ketoprak</v>
      </c>
      <c r="G764" s="22" t="str">
        <f>IF(nutrition!$B764&gt;300,"Tinggi Kalori",IF(nutrition!$B764&gt;100,"Kalori Sedang","Rendah Kalori"))</f>
        <v>Kalori Sedang</v>
      </c>
      <c r="H764" s="23" t="s">
        <v>768</v>
      </c>
    </row>
    <row r="765" spans="1:8" x14ac:dyDescent="0.3">
      <c r="A765" s="25">
        <v>764</v>
      </c>
      <c r="B765" s="26">
        <v>404</v>
      </c>
      <c r="C765" s="26">
        <v>141</v>
      </c>
      <c r="D765" s="26">
        <v>161</v>
      </c>
      <c r="E765" s="26">
        <v>542</v>
      </c>
      <c r="F765" s="28" t="str">
        <f>PROPER(nutrition!$H765)</f>
        <v>Ketumbar</v>
      </c>
      <c r="G765" s="26" t="str">
        <f>IF(nutrition!$B765&gt;300,"Tinggi Kalori",IF(nutrition!$B765&gt;100,"Kalori Sedang","Rendah Kalori"))</f>
        <v>Tinggi Kalori</v>
      </c>
      <c r="H765" s="27" t="s">
        <v>769</v>
      </c>
    </row>
    <row r="766" spans="1:8" x14ac:dyDescent="0.3">
      <c r="A766" s="21">
        <v>765</v>
      </c>
      <c r="B766" s="22">
        <v>212</v>
      </c>
      <c r="C766" s="22">
        <v>4</v>
      </c>
      <c r="D766" s="22">
        <v>46</v>
      </c>
      <c r="E766" s="22">
        <v>386</v>
      </c>
      <c r="F766" s="24" t="str">
        <f>PROPER(nutrition!$H766)</f>
        <v>Ketupat Ketan</v>
      </c>
      <c r="G766" s="22" t="str">
        <f>IF(nutrition!$B766&gt;300,"Tinggi Kalori",IF(nutrition!$B766&gt;100,"Kalori Sedang","Rendah Kalori"))</f>
        <v>Kalori Sedang</v>
      </c>
      <c r="H766" s="23" t="s">
        <v>770</v>
      </c>
    </row>
    <row r="767" spans="1:8" x14ac:dyDescent="0.3">
      <c r="A767" s="25">
        <v>766</v>
      </c>
      <c r="B767" s="26">
        <v>1096</v>
      </c>
      <c r="C767" s="26">
        <v>26</v>
      </c>
      <c r="D767" s="26">
        <v>26</v>
      </c>
      <c r="E767" s="26">
        <v>186</v>
      </c>
      <c r="F767" s="28" t="str">
        <f>PROPER(nutrition!$H767)</f>
        <v xml:space="preserve">Ketupat Tahu </v>
      </c>
      <c r="G767" s="26" t="str">
        <f>IF(nutrition!$B767&gt;300,"Tinggi Kalori",IF(nutrition!$B767&gt;100,"Kalori Sedang","Rendah Kalori"))</f>
        <v>Tinggi Kalori</v>
      </c>
      <c r="H767" s="27" t="s">
        <v>771</v>
      </c>
    </row>
    <row r="768" spans="1:8" x14ac:dyDescent="0.3">
      <c r="A768" s="21">
        <v>767</v>
      </c>
      <c r="B768" s="22">
        <v>310</v>
      </c>
      <c r="C768" s="22">
        <v>10</v>
      </c>
      <c r="D768" s="22">
        <v>24</v>
      </c>
      <c r="E768" s="22">
        <v>135</v>
      </c>
      <c r="F768" s="24" t="str">
        <f>PROPER(nutrition!$H768)</f>
        <v>Kluwek</v>
      </c>
      <c r="G768" s="22" t="str">
        <f>IF(nutrition!$B768&gt;300,"Tinggi Kalori",IF(nutrition!$B768&gt;100,"Kalori Sedang","Rendah Kalori"))</f>
        <v>Tinggi Kalori</v>
      </c>
      <c r="H768" s="23" t="s">
        <v>772</v>
      </c>
    </row>
    <row r="769" spans="1:8" x14ac:dyDescent="0.3">
      <c r="A769" s="25">
        <v>768</v>
      </c>
      <c r="B769" s="26">
        <v>73</v>
      </c>
      <c r="C769" s="26">
        <v>164</v>
      </c>
      <c r="D769" s="26">
        <v>3</v>
      </c>
      <c r="E769" s="26">
        <v>0</v>
      </c>
      <c r="F769" s="28" t="str">
        <f>PROPER(nutrition!$H769)</f>
        <v>Kodok Segar</v>
      </c>
      <c r="G769" s="26" t="str">
        <f>IF(nutrition!$B769&gt;300,"Tinggi Kalori",IF(nutrition!$B769&gt;100,"Kalori Sedang","Rendah Kalori"))</f>
        <v>Rendah Kalori</v>
      </c>
      <c r="H769" s="27" t="s">
        <v>773</v>
      </c>
    </row>
    <row r="770" spans="1:8" x14ac:dyDescent="0.3">
      <c r="A770" s="21">
        <v>769</v>
      </c>
      <c r="B770" s="22">
        <v>86</v>
      </c>
      <c r="C770" s="22">
        <v>16</v>
      </c>
      <c r="D770" s="22">
        <v>2</v>
      </c>
      <c r="E770" s="22">
        <v>13</v>
      </c>
      <c r="F770" s="24" t="str">
        <f>PROPER(nutrition!$H770)</f>
        <v>Kokosan</v>
      </c>
      <c r="G770" s="22" t="str">
        <f>IF(nutrition!$B770&gt;300,"Tinggi Kalori",IF(nutrition!$B770&gt;100,"Kalori Sedang","Rendah Kalori"))</f>
        <v>Rendah Kalori</v>
      </c>
      <c r="H770" s="23" t="s">
        <v>774</v>
      </c>
    </row>
    <row r="771" spans="1:8" x14ac:dyDescent="0.3">
      <c r="A771" s="25">
        <v>770</v>
      </c>
      <c r="B771" s="26">
        <v>99</v>
      </c>
      <c r="C771" s="26">
        <v>33</v>
      </c>
      <c r="D771" s="26">
        <v>1</v>
      </c>
      <c r="E771" s="26">
        <v>212</v>
      </c>
      <c r="F771" s="28" t="str">
        <f>PROPER(nutrition!$H771)</f>
        <v>Komak Polong Segar</v>
      </c>
      <c r="G771" s="26" t="str">
        <f>IF(nutrition!$B771&gt;300,"Tinggi Kalori",IF(nutrition!$B771&gt;100,"Kalori Sedang","Rendah Kalori"))</f>
        <v>Rendah Kalori</v>
      </c>
      <c r="H771" s="27" t="s">
        <v>775</v>
      </c>
    </row>
    <row r="772" spans="1:8" x14ac:dyDescent="0.3">
      <c r="A772" s="21">
        <v>771</v>
      </c>
      <c r="B772" s="22">
        <v>25</v>
      </c>
      <c r="C772" s="22">
        <v>24</v>
      </c>
      <c r="D772" s="22">
        <v>2</v>
      </c>
      <c r="E772" s="22">
        <v>49</v>
      </c>
      <c r="F772" s="24" t="str">
        <f>PROPER(nutrition!$H772)</f>
        <v>Kool Kembang</v>
      </c>
      <c r="G772" s="22" t="str">
        <f>IF(nutrition!$B772&gt;300,"Tinggi Kalori",IF(nutrition!$B772&gt;100,"Kalori Sedang","Rendah Kalori"))</f>
        <v>Rendah Kalori</v>
      </c>
      <c r="H772" s="23" t="s">
        <v>776</v>
      </c>
    </row>
    <row r="773" spans="1:8" x14ac:dyDescent="0.3">
      <c r="A773" s="25">
        <v>772</v>
      </c>
      <c r="B773" s="26">
        <v>24</v>
      </c>
      <c r="C773" s="26">
        <v>14</v>
      </c>
      <c r="D773" s="26">
        <v>2</v>
      </c>
      <c r="E773" s="26">
        <v>53</v>
      </c>
      <c r="F773" s="28" t="str">
        <f>PROPER(nutrition!$H773)</f>
        <v>Kool Merah Kool Putih</v>
      </c>
      <c r="G773" s="26" t="str">
        <f>IF(nutrition!$B773&gt;300,"Tinggi Kalori",IF(nutrition!$B773&gt;100,"Kalori Sedang","Rendah Kalori"))</f>
        <v>Rendah Kalori</v>
      </c>
      <c r="H773" s="27" t="s">
        <v>777</v>
      </c>
    </row>
    <row r="774" spans="1:8" x14ac:dyDescent="0.3">
      <c r="A774" s="21">
        <v>773</v>
      </c>
      <c r="B774" s="22">
        <v>352</v>
      </c>
      <c r="C774" s="22">
        <v>174</v>
      </c>
      <c r="D774" s="22">
        <v>13</v>
      </c>
      <c r="E774" s="22">
        <v>69</v>
      </c>
      <c r="F774" s="24" t="str">
        <f>PROPER(nutrition!$H774)</f>
        <v>Kopi Bagian Yang Larut</v>
      </c>
      <c r="G774" s="22" t="str">
        <f>IF(nutrition!$B774&gt;300,"Tinggi Kalori",IF(nutrition!$B774&gt;100,"Kalori Sedang","Rendah Kalori"))</f>
        <v>Tinggi Kalori</v>
      </c>
      <c r="H774" s="23" t="s">
        <v>778</v>
      </c>
    </row>
    <row r="775" spans="1:8" x14ac:dyDescent="0.3">
      <c r="A775" s="25">
        <v>774</v>
      </c>
      <c r="B775" s="26">
        <v>129</v>
      </c>
      <c r="C775" s="26">
        <v>123</v>
      </c>
      <c r="D775" s="26">
        <v>5</v>
      </c>
      <c r="E775" s="26">
        <v>35</v>
      </c>
      <c r="F775" s="28" t="str">
        <f>PROPER(nutrition!$H775)</f>
        <v>Kopi Bubuk Instant</v>
      </c>
      <c r="G775" s="26" t="str">
        <f>IF(nutrition!$B775&gt;300,"Tinggi Kalori",IF(nutrition!$B775&gt;100,"Kalori Sedang","Rendah Kalori"))</f>
        <v>Kalori Sedang</v>
      </c>
      <c r="H775" s="27" t="s">
        <v>779</v>
      </c>
    </row>
    <row r="776" spans="1:8" x14ac:dyDescent="0.3">
      <c r="A776" s="21">
        <v>775</v>
      </c>
      <c r="B776" s="22">
        <v>356</v>
      </c>
      <c r="C776" s="22">
        <v>205</v>
      </c>
      <c r="D776" s="22">
        <v>41</v>
      </c>
      <c r="E776" s="22">
        <v>616</v>
      </c>
      <c r="F776" s="24" t="str">
        <f>PROPER(nutrition!$H776)</f>
        <v>Koro Andong Kering</v>
      </c>
      <c r="G776" s="22" t="str">
        <f>IF(nutrition!$B776&gt;300,"Tinggi Kalori",IF(nutrition!$B776&gt;100,"Kalori Sedang","Rendah Kalori"))</f>
        <v>Tinggi Kalori</v>
      </c>
      <c r="H776" s="23" t="s">
        <v>780</v>
      </c>
    </row>
    <row r="777" spans="1:8" x14ac:dyDescent="0.3">
      <c r="A777" s="25">
        <v>776</v>
      </c>
      <c r="B777" s="26">
        <v>332</v>
      </c>
      <c r="C777" s="26">
        <v>24</v>
      </c>
      <c r="D777" s="26">
        <v>3</v>
      </c>
      <c r="E777" s="26">
        <v>55</v>
      </c>
      <c r="F777" s="28" t="str">
        <f>PROPER(nutrition!$H777)</f>
        <v>Koro Benguk Biji</v>
      </c>
      <c r="G777" s="26" t="str">
        <f>IF(nutrition!$B777&gt;300,"Tinggi Kalori",IF(nutrition!$B777&gt;100,"Kalori Sedang","Rendah Kalori"))</f>
        <v>Tinggi Kalori</v>
      </c>
      <c r="H777" s="27" t="s">
        <v>781</v>
      </c>
    </row>
    <row r="778" spans="1:8" x14ac:dyDescent="0.3">
      <c r="A778" s="21">
        <v>777</v>
      </c>
      <c r="B778" s="22">
        <v>141</v>
      </c>
      <c r="C778" s="22">
        <v>102</v>
      </c>
      <c r="D778" s="22">
        <v>13</v>
      </c>
      <c r="E778" s="22">
        <v>232</v>
      </c>
      <c r="F778" s="24" t="str">
        <f>PROPER(nutrition!$H778)</f>
        <v>Koro Benguk Tempe</v>
      </c>
      <c r="G778" s="22" t="str">
        <f>IF(nutrition!$B778&gt;300,"Tinggi Kalori",IF(nutrition!$B778&gt;100,"Kalori Sedang","Rendah Kalori"))</f>
        <v>Kalori Sedang</v>
      </c>
      <c r="H778" s="23" t="s">
        <v>782</v>
      </c>
    </row>
    <row r="779" spans="1:8" x14ac:dyDescent="0.3">
      <c r="A779" s="25">
        <v>778</v>
      </c>
      <c r="B779" s="26">
        <v>125</v>
      </c>
      <c r="C779" s="26">
        <v>83</v>
      </c>
      <c r="D779" s="26">
        <v>7</v>
      </c>
      <c r="E779" s="26">
        <v>221</v>
      </c>
      <c r="F779" s="28" t="str">
        <f>PROPER(nutrition!$H779)</f>
        <v>Koro Kerupuk Biji</v>
      </c>
      <c r="G779" s="26" t="str">
        <f>IF(nutrition!$B779&gt;300,"Tinggi Kalori",IF(nutrition!$B779&gt;100,"Kalori Sedang","Rendah Kalori"))</f>
        <v>Kalori Sedang</v>
      </c>
      <c r="H779" s="27" t="s">
        <v>783</v>
      </c>
    </row>
    <row r="780" spans="1:8" x14ac:dyDescent="0.3">
      <c r="A780" s="21">
        <v>779</v>
      </c>
      <c r="B780" s="22">
        <v>33</v>
      </c>
      <c r="C780" s="22">
        <v>27</v>
      </c>
      <c r="D780" s="22">
        <v>2</v>
      </c>
      <c r="E780" s="22">
        <v>79</v>
      </c>
      <c r="F780" s="24" t="str">
        <f>PROPER(nutrition!$H780)</f>
        <v>Koro Loke Biji</v>
      </c>
      <c r="G780" s="22" t="str">
        <f>IF(nutrition!$B780&gt;300,"Tinggi Kalori",IF(nutrition!$B780&gt;100,"Kalori Sedang","Rendah Kalori"))</f>
        <v>Rendah Kalori</v>
      </c>
      <c r="H780" s="23" t="s">
        <v>784</v>
      </c>
    </row>
    <row r="781" spans="1:8" x14ac:dyDescent="0.3">
      <c r="A781" s="25">
        <v>780</v>
      </c>
      <c r="B781" s="26">
        <v>344</v>
      </c>
      <c r="C781" s="26">
        <v>125</v>
      </c>
      <c r="D781" s="26">
        <v>21</v>
      </c>
      <c r="E781" s="26">
        <v>694</v>
      </c>
      <c r="F781" s="28" t="str">
        <f>PROPER(nutrition!$H781)</f>
        <v>Koro Roway Biji</v>
      </c>
      <c r="G781" s="26" t="str">
        <f>IF(nutrition!$B781&gt;300,"Tinggi Kalori",IF(nutrition!$B781&gt;100,"Kalori Sedang","Rendah Kalori"))</f>
        <v>Tinggi Kalori</v>
      </c>
      <c r="H781" s="27" t="s">
        <v>785</v>
      </c>
    </row>
    <row r="782" spans="1:8" x14ac:dyDescent="0.3">
      <c r="A782" s="21">
        <v>781</v>
      </c>
      <c r="B782" s="22">
        <v>338</v>
      </c>
      <c r="C782" s="22">
        <v>222</v>
      </c>
      <c r="D782" s="22">
        <v>15</v>
      </c>
      <c r="E782" s="22">
        <v>61</v>
      </c>
      <c r="F782" s="24" t="str">
        <f>PROPER(nutrition!$H782)</f>
        <v>Koro Wedus Biji</v>
      </c>
      <c r="G782" s="22" t="str">
        <f>IF(nutrition!$B782&gt;300,"Tinggi Kalori",IF(nutrition!$B782&gt;100,"Kalori Sedang","Rendah Kalori"))</f>
        <v>Tinggi Kalori</v>
      </c>
      <c r="H782" s="23" t="s">
        <v>786</v>
      </c>
    </row>
    <row r="783" spans="1:8" x14ac:dyDescent="0.3">
      <c r="A783" s="25">
        <v>782</v>
      </c>
      <c r="B783" s="26">
        <v>38</v>
      </c>
      <c r="C783" s="26">
        <v>3</v>
      </c>
      <c r="D783" s="26">
        <v>3</v>
      </c>
      <c r="E783" s="26">
        <v>79</v>
      </c>
      <c r="F783" s="28" t="str">
        <f>PROPER(nutrition!$H783)</f>
        <v>Koro Wedus Buah Muda</v>
      </c>
      <c r="G783" s="26" t="str">
        <f>IF(nutrition!$B783&gt;300,"Tinggi Kalori",IF(nutrition!$B783&gt;100,"Kalori Sedang","Rendah Kalori"))</f>
        <v>Rendah Kalori</v>
      </c>
      <c r="H783" s="27" t="s">
        <v>787</v>
      </c>
    </row>
    <row r="784" spans="1:8" x14ac:dyDescent="0.3">
      <c r="A784" s="21">
        <v>783</v>
      </c>
      <c r="B784" s="22">
        <v>46</v>
      </c>
      <c r="C784" s="22">
        <v>3</v>
      </c>
      <c r="D784" s="22">
        <v>3</v>
      </c>
      <c r="E784" s="22">
        <v>79</v>
      </c>
      <c r="F784" s="24" t="str">
        <f>PROPER(nutrition!$H784)</f>
        <v>Koro Wedus Polong</v>
      </c>
      <c r="G784" s="22" t="str">
        <f>IF(nutrition!$B784&gt;300,"Tinggi Kalori",IF(nutrition!$B784&gt;100,"Kalori Sedang","Rendah Kalori"))</f>
        <v>Rendah Kalori</v>
      </c>
      <c r="H784" s="23" t="s">
        <v>788</v>
      </c>
    </row>
    <row r="785" spans="1:8" x14ac:dyDescent="0.3">
      <c r="A785" s="25">
        <v>784</v>
      </c>
      <c r="B785" s="26">
        <v>46</v>
      </c>
      <c r="C785" s="26">
        <v>22</v>
      </c>
      <c r="D785" s="26">
        <v>15</v>
      </c>
      <c r="E785" s="26">
        <v>6</v>
      </c>
      <c r="F785" s="28" t="str">
        <f>PROPER(nutrition!$H785)</f>
        <v>Kotiu Hinela Tawang Nggole</v>
      </c>
      <c r="G785" s="26" t="str">
        <f>IF(nutrition!$B785&gt;300,"Tinggi Kalori",IF(nutrition!$B785&gt;100,"Kalori Sedang","Rendah Kalori"))</f>
        <v>Rendah Kalori</v>
      </c>
      <c r="H785" s="27" t="s">
        <v>789</v>
      </c>
    </row>
    <row r="786" spans="1:8" x14ac:dyDescent="0.3">
      <c r="A786" s="21">
        <v>785</v>
      </c>
      <c r="B786" s="22">
        <v>366</v>
      </c>
      <c r="C786" s="22">
        <v>42</v>
      </c>
      <c r="D786" s="22">
        <v>43</v>
      </c>
      <c r="E786" s="22">
        <v>775</v>
      </c>
      <c r="F786" s="24" t="str">
        <f>PROPER(nutrition!$H786)</f>
        <v>Koya</v>
      </c>
      <c r="G786" s="22" t="str">
        <f>IF(nutrition!$B786&gt;300,"Tinggi Kalori",IF(nutrition!$B786&gt;100,"Kalori Sedang","Rendah Kalori"))</f>
        <v>Tinggi Kalori</v>
      </c>
      <c r="H786" s="23" t="s">
        <v>790</v>
      </c>
    </row>
    <row r="787" spans="1:8" x14ac:dyDescent="0.3">
      <c r="A787" s="25">
        <v>786</v>
      </c>
      <c r="B787" s="26">
        <v>370</v>
      </c>
      <c r="C787" s="26">
        <v>8</v>
      </c>
      <c r="D787" s="26">
        <v>1</v>
      </c>
      <c r="E787" s="26">
        <v>822</v>
      </c>
      <c r="F787" s="28" t="str">
        <f>PROPER(nutrition!$H787)</f>
        <v>Koya Mirasa</v>
      </c>
      <c r="G787" s="26" t="str">
        <f>IF(nutrition!$B787&gt;300,"Tinggi Kalori",IF(nutrition!$B787&gt;100,"Kalori Sedang","Rendah Kalori"))</f>
        <v>Tinggi Kalori</v>
      </c>
      <c r="H787" s="27" t="s">
        <v>791</v>
      </c>
    </row>
    <row r="788" spans="1:8" x14ac:dyDescent="0.3">
      <c r="A788" s="21">
        <v>787</v>
      </c>
      <c r="B788" s="22">
        <v>315</v>
      </c>
      <c r="C788" s="22">
        <v>21</v>
      </c>
      <c r="D788" s="22">
        <v>14</v>
      </c>
      <c r="E788" s="22">
        <v>735</v>
      </c>
      <c r="F788" s="24" t="str">
        <f>PROPER(nutrition!$H788)</f>
        <v>Kranji Segar</v>
      </c>
      <c r="G788" s="22" t="str">
        <f>IF(nutrition!$B788&gt;300,"Tinggi Kalori",IF(nutrition!$B788&gt;100,"Kalori Sedang","Rendah Kalori"))</f>
        <v>Tinggi Kalori</v>
      </c>
      <c r="H788" s="23" t="s">
        <v>792</v>
      </c>
    </row>
    <row r="789" spans="1:8" x14ac:dyDescent="0.3">
      <c r="A789" s="25">
        <v>788</v>
      </c>
      <c r="B789" s="26">
        <v>542</v>
      </c>
      <c r="C789" s="26">
        <v>403</v>
      </c>
      <c r="D789" s="26">
        <v>424</v>
      </c>
      <c r="E789" s="26">
        <v>115</v>
      </c>
      <c r="F789" s="28" t="str">
        <f>PROPER(nutrition!$H789)</f>
        <v xml:space="preserve">Kripik Tempe Goreng </v>
      </c>
      <c r="G789" s="26" t="str">
        <f>IF(nutrition!$B789&gt;300,"Tinggi Kalori",IF(nutrition!$B789&gt;100,"Kalori Sedang","Rendah Kalori"))</f>
        <v>Tinggi Kalori</v>
      </c>
      <c r="H789" s="27" t="s">
        <v>793</v>
      </c>
    </row>
    <row r="790" spans="1:8" x14ac:dyDescent="0.3">
      <c r="A790" s="21">
        <v>789</v>
      </c>
      <c r="B790" s="22">
        <v>21</v>
      </c>
      <c r="C790" s="22">
        <v>17</v>
      </c>
      <c r="D790" s="22">
        <v>4</v>
      </c>
      <c r="E790" s="22">
        <v>38</v>
      </c>
      <c r="F790" s="24" t="str">
        <f>PROPER(nutrition!$H790)</f>
        <v>Krokot</v>
      </c>
      <c r="G790" s="22" t="str">
        <f>IF(nutrition!$B790&gt;300,"Tinggi Kalori",IF(nutrition!$B790&gt;100,"Kalori Sedang","Rendah Kalori"))</f>
        <v>Rendah Kalori</v>
      </c>
      <c r="H790" s="23" t="s">
        <v>794</v>
      </c>
    </row>
    <row r="791" spans="1:8" x14ac:dyDescent="0.3">
      <c r="A791" s="25">
        <v>790</v>
      </c>
      <c r="B791" s="26">
        <v>45</v>
      </c>
      <c r="C791" s="26">
        <v>22</v>
      </c>
      <c r="D791" s="26">
        <v>3</v>
      </c>
      <c r="E791" s="26">
        <v>103</v>
      </c>
      <c r="F791" s="28" t="str">
        <f>PROPER(nutrition!$H791)</f>
        <v>Kucai</v>
      </c>
      <c r="G791" s="26" t="str">
        <f>IF(nutrition!$B791&gt;300,"Tinggi Kalori",IF(nutrition!$B791&gt;100,"Kalori Sedang","Rendah Kalori"))</f>
        <v>Rendah Kalori</v>
      </c>
      <c r="H791" s="27" t="s">
        <v>795</v>
      </c>
    </row>
    <row r="792" spans="1:8" x14ac:dyDescent="0.3">
      <c r="A792" s="21">
        <v>791</v>
      </c>
      <c r="B792" s="22">
        <v>42</v>
      </c>
      <c r="C792" s="22">
        <v>38</v>
      </c>
      <c r="D792" s="22">
        <v>6</v>
      </c>
      <c r="E792" s="22">
        <v>78</v>
      </c>
      <c r="F792" s="24" t="str">
        <f>PROPER(nutrition!$H792)</f>
        <v>Kucai Muda (Lokio)</v>
      </c>
      <c r="G792" s="22" t="str">
        <f>IF(nutrition!$B792&gt;300,"Tinggi Kalori",IF(nutrition!$B792&gt;100,"Kalori Sedang","Rendah Kalori"))</f>
        <v>Rendah Kalori</v>
      </c>
      <c r="H792" s="23" t="s">
        <v>796</v>
      </c>
    </row>
    <row r="793" spans="1:8" x14ac:dyDescent="0.3">
      <c r="A793" s="25">
        <v>792</v>
      </c>
      <c r="B793" s="26">
        <v>113</v>
      </c>
      <c r="C793" s="26">
        <v>181</v>
      </c>
      <c r="D793" s="26">
        <v>41</v>
      </c>
      <c r="E793" s="26">
        <v>9</v>
      </c>
      <c r="F793" s="28" t="str">
        <f>PROPER(nutrition!$H793)</f>
        <v>Kuda Daging Segar</v>
      </c>
      <c r="G793" s="26" t="str">
        <f>IF(nutrition!$B793&gt;300,"Tinggi Kalori",IF(nutrition!$B793&gt;100,"Kalori Sedang","Rendah Kalori"))</f>
        <v>Kalori Sedang</v>
      </c>
      <c r="H793" s="27" t="s">
        <v>797</v>
      </c>
    </row>
    <row r="794" spans="1:8" x14ac:dyDescent="0.3">
      <c r="A794" s="21">
        <v>793</v>
      </c>
      <c r="B794" s="22">
        <v>440</v>
      </c>
      <c r="C794" s="22">
        <v>38</v>
      </c>
      <c r="D794" s="22">
        <v>185</v>
      </c>
      <c r="E794" s="22">
        <v>645</v>
      </c>
      <c r="F794" s="24" t="str">
        <f>PROPER(nutrition!$H794)</f>
        <v>Kue Ali</v>
      </c>
      <c r="G794" s="22" t="str">
        <f>IF(nutrition!$B794&gt;300,"Tinggi Kalori",IF(nutrition!$B794&gt;100,"Kalori Sedang","Rendah Kalori"))</f>
        <v>Tinggi Kalori</v>
      </c>
      <c r="H794" s="23" t="s">
        <v>798</v>
      </c>
    </row>
    <row r="795" spans="1:8" x14ac:dyDescent="0.3">
      <c r="A795" s="25">
        <v>794</v>
      </c>
      <c r="B795" s="26">
        <v>1867</v>
      </c>
      <c r="C795" s="26">
        <v>16</v>
      </c>
      <c r="D795" s="26">
        <v>16</v>
      </c>
      <c r="E795" s="26">
        <v>396</v>
      </c>
      <c r="F795" s="28" t="str">
        <f>PROPER(nutrition!$H795)</f>
        <v xml:space="preserve">Kue Apem </v>
      </c>
      <c r="G795" s="26" t="str">
        <f>IF(nutrition!$B795&gt;300,"Tinggi Kalori",IF(nutrition!$B795&gt;100,"Kalori Sedang","Rendah Kalori"))</f>
        <v>Tinggi Kalori</v>
      </c>
      <c r="H795" s="27" t="s">
        <v>799</v>
      </c>
    </row>
    <row r="796" spans="1:8" x14ac:dyDescent="0.3">
      <c r="A796" s="21">
        <v>795</v>
      </c>
      <c r="B796" s="22">
        <v>338</v>
      </c>
      <c r="C796" s="22">
        <v>15</v>
      </c>
      <c r="D796" s="22">
        <v>12</v>
      </c>
      <c r="E796" s="22">
        <v>803</v>
      </c>
      <c r="F796" s="24" t="str">
        <f>PROPER(nutrition!$H796)</f>
        <v>Kue Bangket</v>
      </c>
      <c r="G796" s="22" t="str">
        <f>IF(nutrition!$B796&gt;300,"Tinggi Kalori",IF(nutrition!$B796&gt;100,"Kalori Sedang","Rendah Kalori"))</f>
        <v>Tinggi Kalori</v>
      </c>
      <c r="H796" s="23" t="s">
        <v>800</v>
      </c>
    </row>
    <row r="797" spans="1:8" x14ac:dyDescent="0.3">
      <c r="A797" s="25">
        <v>796</v>
      </c>
      <c r="B797" s="26">
        <v>240</v>
      </c>
      <c r="C797" s="26">
        <v>1</v>
      </c>
      <c r="D797" s="26">
        <v>4</v>
      </c>
      <c r="E797" s="26">
        <v>54</v>
      </c>
      <c r="F797" s="28" t="str">
        <f>PROPER(nutrition!$H797)</f>
        <v xml:space="preserve">Kue Bugis </v>
      </c>
      <c r="G797" s="26" t="str">
        <f>IF(nutrition!$B797&gt;300,"Tinggi Kalori",IF(nutrition!$B797&gt;100,"Kalori Sedang","Rendah Kalori"))</f>
        <v>Kalori Sedang</v>
      </c>
      <c r="H797" s="27" t="s">
        <v>801</v>
      </c>
    </row>
    <row r="798" spans="1:8" x14ac:dyDescent="0.3">
      <c r="A798" s="21">
        <v>797</v>
      </c>
      <c r="B798" s="22">
        <v>425</v>
      </c>
      <c r="C798" s="22">
        <v>16</v>
      </c>
      <c r="D798" s="22">
        <v>88</v>
      </c>
      <c r="E798" s="22">
        <v>846</v>
      </c>
      <c r="F798" s="24" t="str">
        <f>PROPER(nutrition!$H798)</f>
        <v>Kue Jahe</v>
      </c>
      <c r="G798" s="22" t="str">
        <f>IF(nutrition!$B798&gt;300,"Tinggi Kalori",IF(nutrition!$B798&gt;100,"Kalori Sedang","Rendah Kalori"))</f>
        <v>Tinggi Kalori</v>
      </c>
      <c r="H798" s="23" t="s">
        <v>802</v>
      </c>
    </row>
    <row r="799" spans="1:8" x14ac:dyDescent="0.3">
      <c r="A799" s="25">
        <v>798</v>
      </c>
      <c r="B799" s="26">
        <v>591</v>
      </c>
      <c r="C799" s="26">
        <v>56</v>
      </c>
      <c r="D799" s="26">
        <v>421</v>
      </c>
      <c r="E799" s="26">
        <v>475</v>
      </c>
      <c r="F799" s="28" t="str">
        <f>PROPER(nutrition!$H799)</f>
        <v>Kue Kelapa</v>
      </c>
      <c r="G799" s="26" t="str">
        <f>IF(nutrition!$B799&gt;300,"Tinggi Kalori",IF(nutrition!$B799&gt;100,"Kalori Sedang","Rendah Kalori"))</f>
        <v>Tinggi Kalori</v>
      </c>
      <c r="H799" s="27" t="s">
        <v>803</v>
      </c>
    </row>
    <row r="800" spans="1:8" x14ac:dyDescent="0.3">
      <c r="A800" s="21">
        <v>799</v>
      </c>
      <c r="B800" s="22">
        <v>366</v>
      </c>
      <c r="C800" s="22">
        <v>42</v>
      </c>
      <c r="D800" s="22">
        <v>43</v>
      </c>
      <c r="E800" s="22">
        <v>79</v>
      </c>
      <c r="F800" s="24" t="str">
        <f>PROPER(nutrition!$H800)</f>
        <v xml:space="preserve">Kue Koya </v>
      </c>
      <c r="G800" s="22" t="str">
        <f>IF(nutrition!$B800&gt;300,"Tinggi Kalori",IF(nutrition!$B800&gt;100,"Kalori Sedang","Rendah Kalori"))</f>
        <v>Tinggi Kalori</v>
      </c>
      <c r="H800" s="23" t="s">
        <v>804</v>
      </c>
    </row>
    <row r="801" spans="1:8" x14ac:dyDescent="0.3">
      <c r="A801" s="25">
        <v>800</v>
      </c>
      <c r="B801" s="26">
        <v>291</v>
      </c>
      <c r="C801" s="26">
        <v>36</v>
      </c>
      <c r="D801" s="26">
        <v>111</v>
      </c>
      <c r="E801" s="26">
        <v>441</v>
      </c>
      <c r="F801" s="28" t="str">
        <f>PROPER(nutrition!$H801)</f>
        <v>Kue Lumpur</v>
      </c>
      <c r="G801" s="26" t="str">
        <f>IF(nutrition!$B801&gt;300,"Tinggi Kalori",IF(nutrition!$B801&gt;100,"Kalori Sedang","Rendah Kalori"))</f>
        <v>Kalori Sedang</v>
      </c>
      <c r="H801" s="27" t="s">
        <v>805</v>
      </c>
    </row>
    <row r="802" spans="1:8" x14ac:dyDescent="0.3">
      <c r="A802" s="21">
        <v>801</v>
      </c>
      <c r="B802" s="22">
        <v>182</v>
      </c>
      <c r="C802" s="22">
        <v>1</v>
      </c>
      <c r="D802" s="22">
        <v>1</v>
      </c>
      <c r="E802" s="22">
        <v>404</v>
      </c>
      <c r="F802" s="24" t="str">
        <f>PROPER(nutrition!$H802)</f>
        <v xml:space="preserve">Kue Mangkok </v>
      </c>
      <c r="G802" s="22" t="str">
        <f>IF(nutrition!$B802&gt;300,"Tinggi Kalori",IF(nutrition!$B802&gt;100,"Kalori Sedang","Rendah Kalori"))</f>
        <v>Kalori Sedang</v>
      </c>
      <c r="H802" s="23" t="s">
        <v>806</v>
      </c>
    </row>
    <row r="803" spans="1:8" x14ac:dyDescent="0.3">
      <c r="A803" s="25">
        <v>802</v>
      </c>
      <c r="B803" s="26">
        <v>1267</v>
      </c>
      <c r="C803" s="26">
        <v>7</v>
      </c>
      <c r="D803" s="26">
        <v>7</v>
      </c>
      <c r="E803" s="26">
        <v>573</v>
      </c>
      <c r="F803" s="28" t="str">
        <f>PROPER(nutrition!$H803)</f>
        <v xml:space="preserve">Kue Pacar Cina </v>
      </c>
      <c r="G803" s="26" t="str">
        <f>IF(nutrition!$B803&gt;300,"Tinggi Kalori",IF(nutrition!$B803&gt;100,"Kalori Sedang","Rendah Kalori"))</f>
        <v>Tinggi Kalori</v>
      </c>
      <c r="H803" s="27" t="s">
        <v>807</v>
      </c>
    </row>
    <row r="804" spans="1:8" x14ac:dyDescent="0.3">
      <c r="A804" s="21">
        <v>803</v>
      </c>
      <c r="B804" s="22">
        <v>296</v>
      </c>
      <c r="C804" s="22">
        <v>14</v>
      </c>
      <c r="D804" s="22">
        <v>14</v>
      </c>
      <c r="E804" s="22">
        <v>664</v>
      </c>
      <c r="F804" s="24" t="str">
        <f>PROPER(nutrition!$H804)</f>
        <v xml:space="preserve">Kue Pia </v>
      </c>
      <c r="G804" s="22" t="str">
        <f>IF(nutrition!$B804&gt;300,"Tinggi Kalori",IF(nutrition!$B804&gt;100,"Kalori Sedang","Rendah Kalori"))</f>
        <v>Kalori Sedang</v>
      </c>
      <c r="H804" s="23" t="s">
        <v>808</v>
      </c>
    </row>
    <row r="805" spans="1:8" x14ac:dyDescent="0.3">
      <c r="A805" s="25">
        <v>804</v>
      </c>
      <c r="B805" s="26">
        <v>304</v>
      </c>
      <c r="C805" s="26">
        <v>53</v>
      </c>
      <c r="D805" s="26">
        <v>7</v>
      </c>
      <c r="E805" s="26">
        <v>549</v>
      </c>
      <c r="F805" s="28" t="str">
        <f>PROPER(nutrition!$H805)</f>
        <v>Kue Putu Cangkir</v>
      </c>
      <c r="G805" s="26" t="str">
        <f>IF(nutrition!$B805&gt;300,"Tinggi Kalori",IF(nutrition!$B805&gt;100,"Kalori Sedang","Rendah Kalori"))</f>
        <v>Tinggi Kalori</v>
      </c>
      <c r="H805" s="27" t="s">
        <v>809</v>
      </c>
    </row>
    <row r="806" spans="1:8" x14ac:dyDescent="0.3">
      <c r="A806" s="21">
        <v>805</v>
      </c>
      <c r="B806" s="22">
        <v>217</v>
      </c>
      <c r="C806" s="22">
        <v>12</v>
      </c>
      <c r="D806" s="22">
        <v>5</v>
      </c>
      <c r="E806" s="22">
        <v>532</v>
      </c>
      <c r="F806" s="24" t="str">
        <f>PROPER(nutrition!$H806)</f>
        <v>Kue Putu Singkong</v>
      </c>
      <c r="G806" s="22" t="str">
        <f>IF(nutrition!$B806&gt;300,"Tinggi Kalori",IF(nutrition!$B806&gt;100,"Kalori Sedang","Rendah Kalori"))</f>
        <v>Kalori Sedang</v>
      </c>
      <c r="H806" s="23" t="s">
        <v>810</v>
      </c>
    </row>
    <row r="807" spans="1:8" x14ac:dyDescent="0.3">
      <c r="A807" s="25">
        <v>806</v>
      </c>
      <c r="B807" s="26">
        <v>3933</v>
      </c>
      <c r="C807" s="26">
        <v>27</v>
      </c>
      <c r="D807" s="26">
        <v>27</v>
      </c>
      <c r="E807" s="26">
        <v>793</v>
      </c>
      <c r="F807" s="28" t="str">
        <f>PROPER(nutrition!$H807)</f>
        <v xml:space="preserve">Kue Satu </v>
      </c>
      <c r="G807" s="26" t="str">
        <f>IF(nutrition!$B807&gt;300,"Tinggi Kalori",IF(nutrition!$B807&gt;100,"Kalori Sedang","Rendah Kalori"))</f>
        <v>Tinggi Kalori</v>
      </c>
      <c r="H807" s="27" t="s">
        <v>811</v>
      </c>
    </row>
    <row r="808" spans="1:8" x14ac:dyDescent="0.3">
      <c r="A808" s="21">
        <v>807</v>
      </c>
      <c r="B808" s="22">
        <v>380</v>
      </c>
      <c r="C808" s="22">
        <v>1</v>
      </c>
      <c r="D808" s="22">
        <v>1</v>
      </c>
      <c r="E808" s="22">
        <v>92</v>
      </c>
      <c r="F808" s="24" t="str">
        <f>PROPER(nutrition!$H808)</f>
        <v xml:space="preserve">Kue Semprong </v>
      </c>
      <c r="G808" s="22" t="str">
        <f>IF(nutrition!$B808&gt;300,"Tinggi Kalori",IF(nutrition!$B808&gt;100,"Kalori Sedang","Rendah Kalori"))</f>
        <v>Tinggi Kalori</v>
      </c>
      <c r="H808" s="23" t="s">
        <v>812</v>
      </c>
    </row>
    <row r="809" spans="1:8" x14ac:dyDescent="0.3">
      <c r="A809" s="25">
        <v>808</v>
      </c>
      <c r="B809" s="26">
        <v>221</v>
      </c>
      <c r="C809" s="26">
        <v>75</v>
      </c>
      <c r="D809" s="26">
        <v>102</v>
      </c>
      <c r="E809" s="26">
        <v>248</v>
      </c>
      <c r="F809" s="28" t="str">
        <f>PROPER(nutrition!$H809)</f>
        <v>Kue Sus</v>
      </c>
      <c r="G809" s="26" t="str">
        <f>IF(nutrition!$B809&gt;300,"Tinggi Kalori",IF(nutrition!$B809&gt;100,"Kalori Sedang","Rendah Kalori"))</f>
        <v>Kalori Sedang</v>
      </c>
      <c r="H809" s="27" t="s">
        <v>813</v>
      </c>
    </row>
    <row r="810" spans="1:8" x14ac:dyDescent="0.3">
      <c r="A810" s="21">
        <v>809</v>
      </c>
      <c r="B810" s="22">
        <v>180</v>
      </c>
      <c r="C810" s="22">
        <v>5</v>
      </c>
      <c r="D810" s="22">
        <v>5</v>
      </c>
      <c r="E810" s="22">
        <v>32</v>
      </c>
      <c r="F810" s="24" t="str">
        <f>PROPER(nutrition!$H810)</f>
        <v xml:space="preserve">Kue Talam </v>
      </c>
      <c r="G810" s="22" t="str">
        <f>IF(nutrition!$B810&gt;300,"Tinggi Kalori",IF(nutrition!$B810&gt;100,"Kalori Sedang","Rendah Kalori"))</f>
        <v>Kalori Sedang</v>
      </c>
      <c r="H810" s="23" t="s">
        <v>814</v>
      </c>
    </row>
    <row r="811" spans="1:8" x14ac:dyDescent="0.3">
      <c r="A811" s="25">
        <v>810</v>
      </c>
      <c r="B811" s="26">
        <v>512</v>
      </c>
      <c r="C811" s="26">
        <v>26</v>
      </c>
      <c r="D811" s="26">
        <v>26</v>
      </c>
      <c r="E811" s="26">
        <v>604</v>
      </c>
      <c r="F811" s="28" t="str">
        <f>PROPER(nutrition!$H811)</f>
        <v xml:space="preserve">Kue Tambang </v>
      </c>
      <c r="G811" s="26" t="str">
        <f>IF(nutrition!$B811&gt;300,"Tinggi Kalori",IF(nutrition!$B811&gt;100,"Kalori Sedang","Rendah Kalori"))</f>
        <v>Tinggi Kalori</v>
      </c>
      <c r="H811" s="27" t="s">
        <v>815</v>
      </c>
    </row>
    <row r="812" spans="1:8" x14ac:dyDescent="0.3">
      <c r="A812" s="21">
        <v>811</v>
      </c>
      <c r="B812" s="22">
        <v>247</v>
      </c>
      <c r="C812" s="22">
        <v>29</v>
      </c>
      <c r="D812" s="22">
        <v>42</v>
      </c>
      <c r="E812" s="22">
        <v>495</v>
      </c>
      <c r="F812" s="24" t="str">
        <f>PROPER(nutrition!$H812)</f>
        <v>Kue Thipan</v>
      </c>
      <c r="G812" s="22" t="str">
        <f>IF(nutrition!$B812&gt;300,"Tinggi Kalori",IF(nutrition!$B812&gt;100,"Kalori Sedang","Rendah Kalori"))</f>
        <v>Kalori Sedang</v>
      </c>
      <c r="H812" s="23" t="s">
        <v>816</v>
      </c>
    </row>
    <row r="813" spans="1:8" x14ac:dyDescent="0.3">
      <c r="A813" s="25">
        <v>812</v>
      </c>
      <c r="B813" s="26">
        <v>111</v>
      </c>
      <c r="C813" s="26">
        <v>45</v>
      </c>
      <c r="D813" s="26">
        <v>11</v>
      </c>
      <c r="E813" s="26">
        <v>207</v>
      </c>
      <c r="F813" s="28" t="str">
        <f>PROPER(nutrition!$H813)</f>
        <v>Kulit Melinjo</v>
      </c>
      <c r="G813" s="26" t="str">
        <f>IF(nutrition!$B813&gt;300,"Tinggi Kalori",IF(nutrition!$B813&gt;100,"Kalori Sedang","Rendah Kalori"))</f>
        <v>Kalori Sedang</v>
      </c>
      <c r="H813" s="27" t="s">
        <v>817</v>
      </c>
    </row>
    <row r="814" spans="1:8" x14ac:dyDescent="0.3">
      <c r="A814" s="21">
        <v>813</v>
      </c>
      <c r="B814" s="22">
        <v>22</v>
      </c>
      <c r="C814" s="22">
        <v>4</v>
      </c>
      <c r="D814" s="22">
        <v>2</v>
      </c>
      <c r="E814" s="22">
        <v>47</v>
      </c>
      <c r="F814" s="24" t="str">
        <f>PROPER(nutrition!$H814)</f>
        <v>Kundur Segar</v>
      </c>
      <c r="G814" s="22" t="str">
        <f>IF(nutrition!$B814&gt;300,"Tinggi Kalori",IF(nutrition!$B814&gt;100,"Kalori Sedang","Rendah Kalori"))</f>
        <v>Rendah Kalori</v>
      </c>
      <c r="H814" s="23" t="s">
        <v>818</v>
      </c>
    </row>
    <row r="815" spans="1:8" x14ac:dyDescent="0.3">
      <c r="A815" s="25">
        <v>814</v>
      </c>
      <c r="B815" s="26">
        <v>63</v>
      </c>
      <c r="C815" s="26">
        <v>2</v>
      </c>
      <c r="D815" s="26">
        <v>27</v>
      </c>
      <c r="E815" s="26">
        <v>91</v>
      </c>
      <c r="F815" s="28" t="str">
        <f>PROPER(nutrition!$H815)</f>
        <v>Kunyit</v>
      </c>
      <c r="G815" s="26" t="str">
        <f>IF(nutrition!$B815&gt;300,"Tinggi Kalori",IF(nutrition!$B815&gt;100,"Kalori Sedang","Rendah Kalori"))</f>
        <v>Rendah Kalori</v>
      </c>
      <c r="H815" s="27" t="s">
        <v>819</v>
      </c>
    </row>
    <row r="816" spans="1:8" x14ac:dyDescent="0.3">
      <c r="A816" s="21">
        <v>815</v>
      </c>
      <c r="B816" s="22">
        <v>83</v>
      </c>
      <c r="C816" s="22">
        <v>191</v>
      </c>
      <c r="D816" s="22">
        <v>2</v>
      </c>
      <c r="E816" s="22">
        <v>0</v>
      </c>
      <c r="F816" s="24" t="str">
        <f>PROPER(nutrition!$H816)</f>
        <v>Kura-Kura</v>
      </c>
      <c r="G816" s="22" t="str">
        <f>IF(nutrition!$B816&gt;300,"Tinggi Kalori",IF(nutrition!$B816&gt;100,"Kalori Sedang","Rendah Kalori"))</f>
        <v>Rendah Kalori</v>
      </c>
      <c r="H816" s="23" t="s">
        <v>820</v>
      </c>
    </row>
    <row r="817" spans="1:8" x14ac:dyDescent="0.3">
      <c r="A817" s="25">
        <v>816</v>
      </c>
      <c r="B817" s="26">
        <v>515</v>
      </c>
      <c r="C817" s="26">
        <v>306</v>
      </c>
      <c r="D817" s="26">
        <v>421</v>
      </c>
      <c r="E817" s="26">
        <v>138</v>
      </c>
      <c r="F817" s="28" t="str">
        <f>PROPER(nutrition!$H817)</f>
        <v>Kwaci</v>
      </c>
      <c r="G817" s="26" t="str">
        <f>IF(nutrition!$B817&gt;300,"Tinggi Kalori",IF(nutrition!$B817&gt;100,"Kalori Sedang","Rendah Kalori"))</f>
        <v>Tinggi Kalori</v>
      </c>
      <c r="H817" s="27" t="s">
        <v>821</v>
      </c>
    </row>
    <row r="818" spans="1:8" x14ac:dyDescent="0.3">
      <c r="A818" s="21">
        <v>817</v>
      </c>
      <c r="B818" s="22">
        <v>242</v>
      </c>
      <c r="C818" s="22">
        <v>19</v>
      </c>
      <c r="D818" s="22">
        <v>17</v>
      </c>
      <c r="E818" s="22">
        <v>3</v>
      </c>
      <c r="F818" s="24" t="str">
        <f>PROPER(nutrition!$H818)</f>
        <v>Kwark (Quark)</v>
      </c>
      <c r="G818" s="22" t="str">
        <f>IF(nutrition!$B818&gt;300,"Tinggi Kalori",IF(nutrition!$B818&gt;100,"Kalori Sedang","Rendah Kalori"))</f>
        <v>Kalori Sedang</v>
      </c>
      <c r="H818" s="23" t="s">
        <v>822</v>
      </c>
    </row>
    <row r="819" spans="1:8" x14ac:dyDescent="0.3">
      <c r="A819" s="25">
        <v>818</v>
      </c>
      <c r="B819" s="26">
        <v>17</v>
      </c>
      <c r="C819" s="26">
        <v>6</v>
      </c>
      <c r="D819" s="26">
        <v>2</v>
      </c>
      <c r="E819" s="26">
        <v>38</v>
      </c>
      <c r="F819" s="28" t="str">
        <f>PROPER(nutrition!$H819)</f>
        <v>Labu Air</v>
      </c>
      <c r="G819" s="26" t="str">
        <f>IF(nutrition!$B819&gt;300,"Tinggi Kalori",IF(nutrition!$B819&gt;100,"Kalori Sedang","Rendah Kalori"))</f>
        <v>Rendah Kalori</v>
      </c>
      <c r="H819" s="27" t="s">
        <v>823</v>
      </c>
    </row>
    <row r="820" spans="1:8" x14ac:dyDescent="0.3">
      <c r="A820" s="21">
        <v>819</v>
      </c>
      <c r="B820" s="22">
        <v>51</v>
      </c>
      <c r="C820" s="22">
        <v>17</v>
      </c>
      <c r="D820" s="22">
        <v>5</v>
      </c>
      <c r="E820" s="22">
        <v>10</v>
      </c>
      <c r="F820" s="24" t="str">
        <f>PROPER(nutrition!$H820)</f>
        <v>Labu Kuning Segar</v>
      </c>
      <c r="G820" s="22" t="str">
        <f>IF(nutrition!$B820&gt;300,"Tinggi Kalori",IF(nutrition!$B820&gt;100,"Kalori Sedang","Rendah Kalori"))</f>
        <v>Rendah Kalori</v>
      </c>
      <c r="H820" s="23" t="s">
        <v>824</v>
      </c>
    </row>
    <row r="821" spans="1:8" x14ac:dyDescent="0.3">
      <c r="A821" s="25">
        <v>820</v>
      </c>
      <c r="B821" s="26">
        <v>26</v>
      </c>
      <c r="C821" s="26">
        <v>6</v>
      </c>
      <c r="D821" s="26">
        <v>1</v>
      </c>
      <c r="E821" s="26">
        <v>67</v>
      </c>
      <c r="F821" s="28" t="str">
        <f>PROPER(nutrition!$H821)</f>
        <v>Labu Siam</v>
      </c>
      <c r="G821" s="26" t="str">
        <f>IF(nutrition!$B821&gt;300,"Tinggi Kalori",IF(nutrition!$B821&gt;100,"Kalori Sedang","Rendah Kalori"))</f>
        <v>Rendah Kalori</v>
      </c>
      <c r="H821" s="27" t="s">
        <v>825</v>
      </c>
    </row>
    <row r="822" spans="1:8" x14ac:dyDescent="0.3">
      <c r="A822" s="21">
        <v>821</v>
      </c>
      <c r="B822" s="22">
        <v>32</v>
      </c>
      <c r="C822" s="22">
        <v>11</v>
      </c>
      <c r="D822" s="22">
        <v>1</v>
      </c>
      <c r="E822" s="22">
        <v>66</v>
      </c>
      <c r="F822" s="24" t="str">
        <f>PROPER(nutrition!$H822)</f>
        <v>Labu Waluh Segar</v>
      </c>
      <c r="G822" s="22" t="str">
        <f>IF(nutrition!$B822&gt;300,"Tinggi Kalori",IF(nutrition!$B822&gt;100,"Kalori Sedang","Rendah Kalori"))</f>
        <v>Rendah Kalori</v>
      </c>
      <c r="H822" s="23" t="s">
        <v>826</v>
      </c>
    </row>
    <row r="823" spans="1:8" x14ac:dyDescent="0.3">
      <c r="A823" s="25">
        <v>822</v>
      </c>
      <c r="B823" s="26">
        <v>1663</v>
      </c>
      <c r="C823" s="26">
        <v>27</v>
      </c>
      <c r="D823" s="26">
        <v>39</v>
      </c>
      <c r="E823" s="26">
        <v>295</v>
      </c>
      <c r="F823" s="28" t="str">
        <f>PROPER(nutrition!$H823)</f>
        <v xml:space="preserve">Laksa </v>
      </c>
      <c r="G823" s="26" t="str">
        <f>IF(nutrition!$B823&gt;300,"Tinggi Kalori",IF(nutrition!$B823&gt;100,"Kalori Sedang","Rendah Kalori"))</f>
        <v>Tinggi Kalori</v>
      </c>
      <c r="H823" s="27" t="s">
        <v>827</v>
      </c>
    </row>
    <row r="824" spans="1:8" x14ac:dyDescent="0.3">
      <c r="A824" s="21">
        <v>823</v>
      </c>
      <c r="B824" s="22">
        <v>85</v>
      </c>
      <c r="C824" s="22">
        <v>57</v>
      </c>
      <c r="D824" s="22">
        <v>3</v>
      </c>
      <c r="E824" s="22">
        <v>154</v>
      </c>
      <c r="F824" s="24" t="str">
        <f>PROPER(nutrition!$H824)</f>
        <v>Lamtoro (Pete Cina) Biji Muda</v>
      </c>
      <c r="G824" s="22" t="str">
        <f>IF(nutrition!$B824&gt;300,"Tinggi Kalori",IF(nutrition!$B824&gt;100,"Kalori Sedang","Rendah Kalori"))</f>
        <v>Rendah Kalori</v>
      </c>
      <c r="H824" s="23" t="s">
        <v>828</v>
      </c>
    </row>
    <row r="825" spans="1:8" x14ac:dyDescent="0.3">
      <c r="A825" s="25">
        <v>824</v>
      </c>
      <c r="B825" s="26">
        <v>148</v>
      </c>
      <c r="C825" s="26">
        <v>106</v>
      </c>
      <c r="D825" s="26">
        <v>5</v>
      </c>
      <c r="E825" s="26">
        <v>262</v>
      </c>
      <c r="F825" s="28" t="str">
        <f>PROPER(nutrition!$H825)</f>
        <v>Lamtoro Biji Tua</v>
      </c>
      <c r="G825" s="26" t="str">
        <f>IF(nutrition!$B825&gt;300,"Tinggi Kalori",IF(nutrition!$B825&gt;100,"Kalori Sedang","Rendah Kalori"))</f>
        <v>Kalori Sedang</v>
      </c>
      <c r="H825" s="27" t="s">
        <v>829</v>
      </c>
    </row>
    <row r="826" spans="1:8" x14ac:dyDescent="0.3">
      <c r="A826" s="21">
        <v>825</v>
      </c>
      <c r="B826" s="22">
        <v>142</v>
      </c>
      <c r="C826" s="22">
        <v>11</v>
      </c>
      <c r="D826" s="22">
        <v>25</v>
      </c>
      <c r="E826" s="22">
        <v>204</v>
      </c>
      <c r="F826" s="24" t="str">
        <f>PROPER(nutrition!$H826)</f>
        <v>Lamtoro Tempe</v>
      </c>
      <c r="G826" s="22" t="str">
        <f>IF(nutrition!$B826&gt;300,"Tinggi Kalori",IF(nutrition!$B826&gt;100,"Kalori Sedang","Rendah Kalori"))</f>
        <v>Kalori Sedang</v>
      </c>
      <c r="H826" s="23" t="s">
        <v>830</v>
      </c>
    </row>
    <row r="827" spans="1:8" x14ac:dyDescent="0.3">
      <c r="A827" s="25">
        <v>826</v>
      </c>
      <c r="B827" s="26">
        <v>367</v>
      </c>
      <c r="C827" s="26">
        <v>464</v>
      </c>
      <c r="D827" s="26">
        <v>54</v>
      </c>
      <c r="E827" s="26">
        <v>325</v>
      </c>
      <c r="F827" s="28" t="str">
        <f>PROPER(nutrition!$H827)</f>
        <v>Lamtoro Var. Gung Tanpa Kulit</v>
      </c>
      <c r="G827" s="26" t="str">
        <f>IF(nutrition!$B827&gt;300,"Tinggi Kalori",IF(nutrition!$B827&gt;100,"Kalori Sedang","Rendah Kalori"))</f>
        <v>Tinggi Kalori</v>
      </c>
      <c r="H827" s="27" t="s">
        <v>831</v>
      </c>
    </row>
    <row r="828" spans="1:8" x14ac:dyDescent="0.3">
      <c r="A828" s="21">
        <v>827</v>
      </c>
      <c r="B828" s="22">
        <v>336</v>
      </c>
      <c r="C828" s="22">
        <v>238</v>
      </c>
      <c r="D828" s="22">
        <v>12</v>
      </c>
      <c r="E828" s="22">
        <v>597</v>
      </c>
      <c r="F828" s="24" t="str">
        <f>PROPER(nutrition!$H828)</f>
        <v>Lamtoro Var. Lokal Dengan Kulit</v>
      </c>
      <c r="G828" s="22" t="str">
        <f>IF(nutrition!$B828&gt;300,"Tinggi Kalori",IF(nutrition!$B828&gt;100,"Kalori Sedang","Rendah Kalori"))</f>
        <v>Tinggi Kalori</v>
      </c>
      <c r="H828" s="23" t="s">
        <v>832</v>
      </c>
    </row>
    <row r="829" spans="1:8" x14ac:dyDescent="0.3">
      <c r="A829" s="25">
        <v>828</v>
      </c>
      <c r="B829" s="26">
        <v>56</v>
      </c>
      <c r="C829" s="26">
        <v>9</v>
      </c>
      <c r="D829" s="26">
        <v>2</v>
      </c>
      <c r="E829" s="26">
        <v>143</v>
      </c>
      <c r="F829" s="28" t="str">
        <f>PROPER(nutrition!$H829)</f>
        <v>Langsat</v>
      </c>
      <c r="G829" s="26" t="str">
        <f>IF(nutrition!$B829&gt;300,"Tinggi Kalori",IF(nutrition!$B829&gt;100,"Kalori Sedang","Rendah Kalori"))</f>
        <v>Rendah Kalori</v>
      </c>
      <c r="H829" s="27" t="s">
        <v>833</v>
      </c>
    </row>
    <row r="830" spans="1:8" x14ac:dyDescent="0.3">
      <c r="A830" s="21">
        <v>829</v>
      </c>
      <c r="B830" s="22">
        <v>34</v>
      </c>
      <c r="C830" s="22">
        <v>22</v>
      </c>
      <c r="D830" s="22">
        <v>3</v>
      </c>
      <c r="E830" s="22">
        <v>55</v>
      </c>
      <c r="F830" s="24" t="str">
        <f>PROPER(nutrition!$H830)</f>
        <v>Lantar Segar</v>
      </c>
      <c r="G830" s="22" t="str">
        <f>IF(nutrition!$B830&gt;300,"Tinggi Kalori",IF(nutrition!$B830&gt;100,"Kalori Sedang","Rendah Kalori"))</f>
        <v>Rendah Kalori</v>
      </c>
      <c r="H830" s="23" t="s">
        <v>834</v>
      </c>
    </row>
    <row r="831" spans="1:8" x14ac:dyDescent="0.3">
      <c r="A831" s="25">
        <v>830</v>
      </c>
      <c r="B831" s="26">
        <v>422</v>
      </c>
      <c r="C831" s="26">
        <v>9</v>
      </c>
      <c r="D831" s="26">
        <v>108</v>
      </c>
      <c r="E831" s="26">
        <v>804</v>
      </c>
      <c r="F831" s="28" t="str">
        <f>PROPER(nutrition!$H831)</f>
        <v>Lanting Getuk</v>
      </c>
      <c r="G831" s="26" t="str">
        <f>IF(nutrition!$B831&gt;300,"Tinggi Kalori",IF(nutrition!$B831&gt;100,"Kalori Sedang","Rendah Kalori"))</f>
        <v>Tinggi Kalori</v>
      </c>
      <c r="H831" s="27" t="s">
        <v>835</v>
      </c>
    </row>
    <row r="832" spans="1:8" x14ac:dyDescent="0.3">
      <c r="A832" s="21">
        <v>831</v>
      </c>
      <c r="B832" s="22">
        <v>389</v>
      </c>
      <c r="C832" s="22">
        <v>66</v>
      </c>
      <c r="D832" s="22">
        <v>157</v>
      </c>
      <c r="E832" s="22">
        <v>555</v>
      </c>
      <c r="F832" s="24" t="str">
        <f>PROPER(nutrition!$H832)</f>
        <v>Lapis Legit</v>
      </c>
      <c r="G832" s="22" t="str">
        <f>IF(nutrition!$B832&gt;300,"Tinggi Kalori",IF(nutrition!$B832&gt;100,"Kalori Sedang","Rendah Kalori"))</f>
        <v>Tinggi Kalori</v>
      </c>
      <c r="H832" s="23" t="s">
        <v>836</v>
      </c>
    </row>
    <row r="833" spans="1:8" x14ac:dyDescent="0.3">
      <c r="A833" s="25">
        <v>832</v>
      </c>
      <c r="B833" s="26">
        <v>174</v>
      </c>
      <c r="C833" s="26">
        <v>17</v>
      </c>
      <c r="D833" s="26">
        <v>10</v>
      </c>
      <c r="E833" s="26">
        <v>3</v>
      </c>
      <c r="F833" s="28" t="str">
        <f>PROPER(nutrition!$H833)</f>
        <v>Lawar Babi Masakan</v>
      </c>
      <c r="G833" s="26" t="str">
        <f>IF(nutrition!$B833&gt;300,"Tinggi Kalori",IF(nutrition!$B833&gt;100,"Kalori Sedang","Rendah Kalori"))</f>
        <v>Kalori Sedang</v>
      </c>
      <c r="H833" s="27" t="s">
        <v>837</v>
      </c>
    </row>
    <row r="834" spans="1:8" x14ac:dyDescent="0.3">
      <c r="A834" s="21">
        <v>833</v>
      </c>
      <c r="B834" s="22">
        <v>141</v>
      </c>
      <c r="C834" s="22">
        <v>23</v>
      </c>
      <c r="D834" s="22">
        <v>15</v>
      </c>
      <c r="E834" s="22">
        <v>76</v>
      </c>
      <c r="F834" s="24" t="str">
        <f>PROPER(nutrition!$H834)</f>
        <v>Lawar Penyu Masakan</v>
      </c>
      <c r="G834" s="22" t="str">
        <f>IF(nutrition!$B834&gt;300,"Tinggi Kalori",IF(nutrition!$B834&gt;100,"Kalori Sedang","Rendah Kalori"))</f>
        <v>Kalori Sedang</v>
      </c>
      <c r="H834" s="23" t="s">
        <v>838</v>
      </c>
    </row>
    <row r="835" spans="1:8" x14ac:dyDescent="0.3">
      <c r="A835" s="25">
        <v>834</v>
      </c>
      <c r="B835" s="26">
        <v>159</v>
      </c>
      <c r="C835" s="26">
        <v>5</v>
      </c>
      <c r="D835" s="26">
        <v>109</v>
      </c>
      <c r="E835" s="26">
        <v>101</v>
      </c>
      <c r="F835" s="28" t="str">
        <f>PROPER(nutrition!$H835)</f>
        <v>Lawara Jangang Masakan</v>
      </c>
      <c r="G835" s="26" t="str">
        <f>IF(nutrition!$B835&gt;300,"Tinggi Kalori",IF(nutrition!$B835&gt;100,"Kalori Sedang","Rendah Kalori"))</f>
        <v>Kalori Sedang</v>
      </c>
      <c r="H835" s="27" t="s">
        <v>839</v>
      </c>
    </row>
    <row r="836" spans="1:8" x14ac:dyDescent="0.3">
      <c r="A836" s="21">
        <v>835</v>
      </c>
      <c r="B836" s="22">
        <v>207</v>
      </c>
      <c r="C836" s="22">
        <v>74</v>
      </c>
      <c r="D836" s="22">
        <v>154</v>
      </c>
      <c r="E836" s="22">
        <v>96</v>
      </c>
      <c r="F836" s="24" t="str">
        <f>PROPER(nutrition!$H836)</f>
        <v>Lawara Penjah Masakan</v>
      </c>
      <c r="G836" s="22" t="str">
        <f>IF(nutrition!$B836&gt;300,"Tinggi Kalori",IF(nutrition!$B836&gt;100,"Kalori Sedang","Rendah Kalori"))</f>
        <v>Kalori Sedang</v>
      </c>
      <c r="H836" s="23" t="s">
        <v>840</v>
      </c>
    </row>
    <row r="837" spans="1:8" x14ac:dyDescent="0.3">
      <c r="A837" s="25">
        <v>836</v>
      </c>
      <c r="B837" s="26">
        <v>405</v>
      </c>
      <c r="C837" s="26">
        <v>48</v>
      </c>
      <c r="D837" s="26">
        <v>51</v>
      </c>
      <c r="E837" s="26">
        <v>849</v>
      </c>
      <c r="F837" s="28" t="str">
        <f>PROPER(nutrition!$H837)</f>
        <v>Ledre Pisang</v>
      </c>
      <c r="G837" s="26" t="str">
        <f>IF(nutrition!$B837&gt;300,"Tinggi Kalori",IF(nutrition!$B837&gt;100,"Kalori Sedang","Rendah Kalori"))</f>
        <v>Tinggi Kalori</v>
      </c>
      <c r="H837" s="27" t="s">
        <v>841</v>
      </c>
    </row>
    <row r="838" spans="1:8" x14ac:dyDescent="0.3">
      <c r="A838" s="21">
        <v>837</v>
      </c>
      <c r="B838" s="22">
        <v>15</v>
      </c>
      <c r="C838" s="22">
        <v>1</v>
      </c>
      <c r="D838" s="22">
        <v>4</v>
      </c>
      <c r="E838" s="22">
        <v>19</v>
      </c>
      <c r="F838" s="24" t="str">
        <f>PROPER(nutrition!$H838)</f>
        <v>Lema/ Rebung Asam</v>
      </c>
      <c r="G838" s="22" t="str">
        <f>IF(nutrition!$B838&gt;300,"Tinggi Kalori",IF(nutrition!$B838&gt;100,"Kalori Sedang","Rendah Kalori"))</f>
        <v>Rendah Kalori</v>
      </c>
      <c r="H838" s="23" t="s">
        <v>842</v>
      </c>
    </row>
    <row r="839" spans="1:8" x14ac:dyDescent="0.3">
      <c r="A839" s="25">
        <v>838</v>
      </c>
      <c r="B839" s="26">
        <v>902</v>
      </c>
      <c r="C839" s="26">
        <v>0</v>
      </c>
      <c r="D839" s="26">
        <v>100</v>
      </c>
      <c r="E839" s="26">
        <v>0</v>
      </c>
      <c r="F839" s="28" t="str">
        <f>PROPER(nutrition!$H839)</f>
        <v>Lemak Babi</v>
      </c>
      <c r="G839" s="26" t="str">
        <f>IF(nutrition!$B839&gt;300,"Tinggi Kalori",IF(nutrition!$B839&gt;100,"Kalori Sedang","Rendah Kalori"))</f>
        <v>Tinggi Kalori</v>
      </c>
      <c r="H839" s="27" t="s">
        <v>843</v>
      </c>
    </row>
    <row r="840" spans="1:8" x14ac:dyDescent="0.3">
      <c r="A840" s="21">
        <v>839</v>
      </c>
      <c r="B840" s="22">
        <v>630</v>
      </c>
      <c r="C840" s="22">
        <v>91</v>
      </c>
      <c r="D840" s="22">
        <v>65</v>
      </c>
      <c r="E840" s="22">
        <v>11</v>
      </c>
      <c r="F840" s="24" t="str">
        <f>PROPER(nutrition!$H840)</f>
        <v>Lemak Babi (Bacon)</v>
      </c>
      <c r="G840" s="22" t="str">
        <f>IF(nutrition!$B840&gt;300,"Tinggi Kalori",IF(nutrition!$B840&gt;100,"Kalori Sedang","Rendah Kalori"))</f>
        <v>Tinggi Kalori</v>
      </c>
      <c r="H840" s="23" t="s">
        <v>844</v>
      </c>
    </row>
    <row r="841" spans="1:8" x14ac:dyDescent="0.3">
      <c r="A841" s="25">
        <v>840</v>
      </c>
      <c r="B841" s="26">
        <v>372</v>
      </c>
      <c r="C841" s="26">
        <v>12</v>
      </c>
      <c r="D841" s="26">
        <v>294</v>
      </c>
      <c r="E841" s="26">
        <v>144</v>
      </c>
      <c r="F841" s="28" t="str">
        <f>PROPER(nutrition!$H841)</f>
        <v>Lemak Ikan</v>
      </c>
      <c r="G841" s="26" t="str">
        <f>IF(nutrition!$B841&gt;300,"Tinggi Kalori",IF(nutrition!$B841&gt;100,"Kalori Sedang","Rendah Kalori"))</f>
        <v>Tinggi Kalori</v>
      </c>
      <c r="H841" s="27" t="s">
        <v>845</v>
      </c>
    </row>
    <row r="842" spans="1:8" x14ac:dyDescent="0.3">
      <c r="A842" s="21">
        <v>841</v>
      </c>
      <c r="B842" s="22">
        <v>818</v>
      </c>
      <c r="C842" s="22">
        <v>15</v>
      </c>
      <c r="D842" s="22">
        <v>90</v>
      </c>
      <c r="E842" s="22">
        <v>0</v>
      </c>
      <c r="F842" s="24" t="str">
        <f>PROPER(nutrition!$H842)</f>
        <v>Lemak Kerbau</v>
      </c>
      <c r="G842" s="22" t="str">
        <f>IF(nutrition!$B842&gt;300,"Tinggi Kalori",IF(nutrition!$B842&gt;100,"Kalori Sedang","Rendah Kalori"))</f>
        <v>Tinggi Kalori</v>
      </c>
      <c r="H842" s="23" t="s">
        <v>846</v>
      </c>
    </row>
    <row r="843" spans="1:8" x14ac:dyDescent="0.3">
      <c r="A843" s="25">
        <v>842</v>
      </c>
      <c r="B843" s="26">
        <v>34</v>
      </c>
      <c r="C843" s="26">
        <v>5</v>
      </c>
      <c r="D843" s="26">
        <v>8</v>
      </c>
      <c r="E843" s="26">
        <v>62</v>
      </c>
      <c r="F843" s="28" t="str">
        <f>PROPER(nutrition!$H843)</f>
        <v>Lemon Segar</v>
      </c>
      <c r="G843" s="26" t="str">
        <f>IF(nutrition!$B843&gt;300,"Tinggi Kalori",IF(nutrition!$B843&gt;100,"Kalori Sedang","Rendah Kalori"))</f>
        <v>Rendah Kalori</v>
      </c>
      <c r="H843" s="27" t="s">
        <v>847</v>
      </c>
    </row>
    <row r="844" spans="1:8" x14ac:dyDescent="0.3">
      <c r="A844" s="21">
        <v>843</v>
      </c>
      <c r="B844" s="22">
        <v>36</v>
      </c>
      <c r="C844" s="22">
        <v>0</v>
      </c>
      <c r="D844" s="22">
        <v>0</v>
      </c>
      <c r="E844" s="22">
        <v>10</v>
      </c>
      <c r="F844" s="24" t="str">
        <f>PROPER(nutrition!$H844)</f>
        <v>Lemon Squasih</v>
      </c>
      <c r="G844" s="22" t="str">
        <f>IF(nutrition!$B844&gt;300,"Tinggi Kalori",IF(nutrition!$B844&gt;100,"Kalori Sedang","Rendah Kalori"))</f>
        <v>Rendah Kalori</v>
      </c>
      <c r="H844" s="23" t="s">
        <v>848</v>
      </c>
    </row>
    <row r="845" spans="1:8" x14ac:dyDescent="0.3">
      <c r="A845" s="25">
        <v>844</v>
      </c>
      <c r="B845" s="26">
        <v>30</v>
      </c>
      <c r="C845" s="26">
        <v>0</v>
      </c>
      <c r="D845" s="26">
        <v>0</v>
      </c>
      <c r="E845" s="26">
        <v>8</v>
      </c>
      <c r="F845" s="28" t="str">
        <f>PROPER(nutrition!$H845)</f>
        <v>Lemonade</v>
      </c>
      <c r="G845" s="26" t="str">
        <f>IF(nutrition!$B845&gt;300,"Tinggi Kalori",IF(nutrition!$B845&gt;100,"Kalori Sedang","Rendah Kalori"))</f>
        <v>Rendah Kalori</v>
      </c>
      <c r="H845" s="27" t="s">
        <v>849</v>
      </c>
    </row>
    <row r="846" spans="1:8" x14ac:dyDescent="0.3">
      <c r="A846" s="21">
        <v>845</v>
      </c>
      <c r="B846" s="22">
        <v>2213</v>
      </c>
      <c r="C846" s="22">
        <v>38</v>
      </c>
      <c r="D846" s="22">
        <v>36</v>
      </c>
      <c r="E846" s="22">
        <v>434</v>
      </c>
      <c r="F846" s="24" t="str">
        <f>PROPER(nutrition!$H846)</f>
        <v xml:space="preserve">Lemper </v>
      </c>
      <c r="G846" s="22" t="str">
        <f>IF(nutrition!$B846&gt;300,"Tinggi Kalori",IF(nutrition!$B846&gt;100,"Kalori Sedang","Rendah Kalori"))</f>
        <v>Tinggi Kalori</v>
      </c>
      <c r="H846" s="23" t="s">
        <v>850</v>
      </c>
    </row>
    <row r="847" spans="1:8" x14ac:dyDescent="0.3">
      <c r="A847" s="25">
        <v>846</v>
      </c>
      <c r="B847" s="26">
        <v>320</v>
      </c>
      <c r="C847" s="26">
        <v>35</v>
      </c>
      <c r="D847" s="26">
        <v>57</v>
      </c>
      <c r="E847" s="26">
        <v>637</v>
      </c>
      <c r="F847" s="28" t="str">
        <f>PROPER(nutrition!$H847)</f>
        <v>Lempog Durian</v>
      </c>
      <c r="G847" s="26" t="str">
        <f>IF(nutrition!$B847&gt;300,"Tinggi Kalori",IF(nutrition!$B847&gt;100,"Kalori Sedang","Rendah Kalori"))</f>
        <v>Tinggi Kalori</v>
      </c>
      <c r="H847" s="27" t="s">
        <v>851</v>
      </c>
    </row>
    <row r="848" spans="1:8" x14ac:dyDescent="0.3">
      <c r="A848" s="21">
        <v>847</v>
      </c>
      <c r="B848" s="22">
        <v>181</v>
      </c>
      <c r="C848" s="22">
        <v>28</v>
      </c>
      <c r="D848" s="22">
        <v>12</v>
      </c>
      <c r="E848" s="22">
        <v>398</v>
      </c>
      <c r="F848" s="24" t="str">
        <f>PROPER(nutrition!$H848)</f>
        <v>Lepok/Ubi Rumput</v>
      </c>
      <c r="G848" s="22" t="str">
        <f>IF(nutrition!$B848&gt;300,"Tinggi Kalori",IF(nutrition!$B848&gt;100,"Kalori Sedang","Rendah Kalori"))</f>
        <v>Kalori Sedang</v>
      </c>
      <c r="H848" s="23" t="s">
        <v>852</v>
      </c>
    </row>
    <row r="849" spans="1:8" x14ac:dyDescent="0.3">
      <c r="A849" s="25">
        <v>848</v>
      </c>
      <c r="B849" s="26">
        <v>33</v>
      </c>
      <c r="C849" s="26">
        <v>19</v>
      </c>
      <c r="D849" s="26">
        <v>1</v>
      </c>
      <c r="E849" s="26">
        <v>74</v>
      </c>
      <c r="F849" s="28" t="str">
        <f>PROPER(nutrition!$H849)</f>
        <v>Leunca Buah</v>
      </c>
      <c r="G849" s="26" t="str">
        <f>IF(nutrition!$B849&gt;300,"Tinggi Kalori",IF(nutrition!$B849&gt;100,"Kalori Sedang","Rendah Kalori"))</f>
        <v>Rendah Kalori</v>
      </c>
      <c r="H849" s="27" t="s">
        <v>853</v>
      </c>
    </row>
    <row r="850" spans="1:8" x14ac:dyDescent="0.3">
      <c r="A850" s="21">
        <v>849</v>
      </c>
      <c r="B850" s="22">
        <v>240</v>
      </c>
      <c r="C850" s="22">
        <v>78</v>
      </c>
      <c r="D850" s="22">
        <v>5</v>
      </c>
      <c r="E850" s="22">
        <v>513</v>
      </c>
      <c r="F850" s="24" t="str">
        <f>PROPER(nutrition!$H850)</f>
        <v xml:space="preserve">Leupeut Ketan </v>
      </c>
      <c r="G850" s="22" t="str">
        <f>IF(nutrition!$B850&gt;300,"Tinggi Kalori",IF(nutrition!$B850&gt;100,"Kalori Sedang","Rendah Kalori"))</f>
        <v>Kalori Sedang</v>
      </c>
      <c r="H850" s="23" t="s">
        <v>854</v>
      </c>
    </row>
    <row r="851" spans="1:8" x14ac:dyDescent="0.3">
      <c r="A851" s="25">
        <v>850</v>
      </c>
      <c r="B851" s="26">
        <v>387</v>
      </c>
      <c r="C851" s="26">
        <v>16</v>
      </c>
      <c r="D851" s="26">
        <v>22</v>
      </c>
      <c r="E851" s="26">
        <v>3</v>
      </c>
      <c r="F851" s="28" t="str">
        <f>PROPER(nutrition!$H851)</f>
        <v>Leverwost (Sosis Hati)</v>
      </c>
      <c r="G851" s="26" t="str">
        <f>IF(nutrition!$B851&gt;300,"Tinggi Kalori",IF(nutrition!$B851&gt;100,"Kalori Sedang","Rendah Kalori"))</f>
        <v>Tinggi Kalori</v>
      </c>
      <c r="H851" s="27" t="s">
        <v>855</v>
      </c>
    </row>
    <row r="852" spans="1:8" x14ac:dyDescent="0.3">
      <c r="A852" s="21">
        <v>851</v>
      </c>
      <c r="B852" s="22">
        <v>79</v>
      </c>
      <c r="C852" s="22">
        <v>23</v>
      </c>
      <c r="D852" s="22">
        <v>52</v>
      </c>
      <c r="E852" s="22">
        <v>58</v>
      </c>
      <c r="F852" s="24" t="str">
        <f>PROPER(nutrition!$H852)</f>
        <v>Lilin Bungkus Gedi</v>
      </c>
      <c r="G852" s="22" t="str">
        <f>IF(nutrition!$B852&gt;300,"Tinggi Kalori",IF(nutrition!$B852&gt;100,"Kalori Sedang","Rendah Kalori"))</f>
        <v>Rendah Kalori</v>
      </c>
      <c r="H852" s="23" t="s">
        <v>856</v>
      </c>
    </row>
    <row r="853" spans="1:8" x14ac:dyDescent="0.3">
      <c r="A853" s="25">
        <v>852</v>
      </c>
      <c r="B853" s="26">
        <v>19</v>
      </c>
      <c r="C853" s="26">
        <v>9</v>
      </c>
      <c r="D853" s="26">
        <v>1</v>
      </c>
      <c r="E853" s="26">
        <v>42</v>
      </c>
      <c r="F853" s="28" t="str">
        <f>PROPER(nutrition!$H853)</f>
        <v>Lobak</v>
      </c>
      <c r="G853" s="26" t="str">
        <f>IF(nutrition!$B853&gt;300,"Tinggi Kalori",IF(nutrition!$B853&gt;100,"Kalori Sedang","Rendah Kalori"))</f>
        <v>Rendah Kalori</v>
      </c>
      <c r="H853" s="27" t="s">
        <v>857</v>
      </c>
    </row>
    <row r="854" spans="1:8" x14ac:dyDescent="0.3">
      <c r="A854" s="21">
        <v>853</v>
      </c>
      <c r="B854" s="22">
        <v>217</v>
      </c>
      <c r="C854" s="22">
        <v>11</v>
      </c>
      <c r="D854" s="22">
        <v>17</v>
      </c>
      <c r="E854" s="22">
        <v>51</v>
      </c>
      <c r="F854" s="24" t="str">
        <f>PROPER(nutrition!$H854)</f>
        <v>Lokan Segar</v>
      </c>
      <c r="G854" s="22" t="str">
        <f>IF(nutrition!$B854&gt;300,"Tinggi Kalori",IF(nutrition!$B854&gt;100,"Kalori Sedang","Rendah Kalori"))</f>
        <v>Kalori Sedang</v>
      </c>
      <c r="H854" s="23" t="s">
        <v>858</v>
      </c>
    </row>
    <row r="855" spans="1:8" x14ac:dyDescent="0.3">
      <c r="A855" s="25">
        <v>854</v>
      </c>
      <c r="B855" s="26">
        <v>27</v>
      </c>
      <c r="C855" s="26">
        <v>4</v>
      </c>
      <c r="D855" s="26">
        <v>2</v>
      </c>
      <c r="E855" s="26">
        <v>6</v>
      </c>
      <c r="F855" s="28" t="str">
        <f>PROPER(nutrition!$H855)</f>
        <v>Lontar Segar</v>
      </c>
      <c r="G855" s="26" t="str">
        <f>IF(nutrition!$B855&gt;300,"Tinggi Kalori",IF(nutrition!$B855&gt;100,"Kalori Sedang","Rendah Kalori"))</f>
        <v>Rendah Kalori</v>
      </c>
      <c r="H855" s="27" t="s">
        <v>859</v>
      </c>
    </row>
    <row r="856" spans="1:8" x14ac:dyDescent="0.3">
      <c r="A856" s="21">
        <v>855</v>
      </c>
      <c r="B856" s="22">
        <v>1633</v>
      </c>
      <c r="C856" s="22">
        <v>28</v>
      </c>
      <c r="D856" s="22">
        <v>22</v>
      </c>
      <c r="E856" s="22">
        <v>33</v>
      </c>
      <c r="F856" s="24" t="str">
        <f>PROPER(nutrition!$H856)</f>
        <v xml:space="preserve">Lopis </v>
      </c>
      <c r="G856" s="22" t="str">
        <f>IF(nutrition!$B856&gt;300,"Tinggi Kalori",IF(nutrition!$B856&gt;100,"Kalori Sedang","Rendah Kalori"))</f>
        <v>Tinggi Kalori</v>
      </c>
      <c r="H856" s="23" t="s">
        <v>860</v>
      </c>
    </row>
    <row r="857" spans="1:8" x14ac:dyDescent="0.3">
      <c r="A857" s="25">
        <v>856</v>
      </c>
      <c r="B857" s="26">
        <v>38</v>
      </c>
      <c r="C857" s="26">
        <v>11</v>
      </c>
      <c r="D857" s="26">
        <v>3</v>
      </c>
      <c r="E857" s="26">
        <v>76</v>
      </c>
      <c r="F857" s="28" t="str">
        <f>PROPER(nutrition!$H857)</f>
        <v>Lumai/Leunca Segar</v>
      </c>
      <c r="G857" s="26" t="str">
        <f>IF(nutrition!$B857&gt;300,"Tinggi Kalori",IF(nutrition!$B857&gt;100,"Kalori Sedang","Rendah Kalori"))</f>
        <v>Rendah Kalori</v>
      </c>
      <c r="H857" s="27" t="s">
        <v>861</v>
      </c>
    </row>
    <row r="858" spans="1:8" x14ac:dyDescent="0.3">
      <c r="A858" s="21">
        <v>857</v>
      </c>
      <c r="B858" s="22">
        <v>164</v>
      </c>
      <c r="C858" s="22">
        <v>18</v>
      </c>
      <c r="D858" s="22">
        <v>21</v>
      </c>
      <c r="E858" s="22">
        <v>345</v>
      </c>
      <c r="F858" s="24" t="str">
        <f>PROPER(nutrition!$H858)</f>
        <v>Lupis Ketan</v>
      </c>
      <c r="G858" s="22" t="str">
        <f>IF(nutrition!$B858&gt;300,"Tinggi Kalori",IF(nutrition!$B858&gt;100,"Kalori Sedang","Rendah Kalori"))</f>
        <v>Kalori Sedang</v>
      </c>
      <c r="H858" s="23" t="s">
        <v>862</v>
      </c>
    </row>
    <row r="859" spans="1:8" x14ac:dyDescent="0.3">
      <c r="A859" s="25">
        <v>858</v>
      </c>
      <c r="B859" s="26">
        <v>294</v>
      </c>
      <c r="C859" s="26">
        <v>3</v>
      </c>
      <c r="D859" s="26">
        <v>0</v>
      </c>
      <c r="E859" s="26">
        <v>795</v>
      </c>
      <c r="F859" s="28" t="str">
        <f>PROPER(nutrition!$H859)</f>
        <v>Madu</v>
      </c>
      <c r="G859" s="26" t="str">
        <f>IF(nutrition!$B859&gt;300,"Tinggi Kalori",IF(nutrition!$B859&gt;100,"Kalori Sedang","Rendah Kalori"))</f>
        <v>Kalori Sedang</v>
      </c>
      <c r="H859" s="27" t="s">
        <v>863</v>
      </c>
    </row>
    <row r="860" spans="1:8" x14ac:dyDescent="0.3">
      <c r="A860" s="21">
        <v>859</v>
      </c>
      <c r="B860" s="22">
        <v>341</v>
      </c>
      <c r="C860" s="22">
        <v>3</v>
      </c>
      <c r="D860" s="22">
        <v>0</v>
      </c>
      <c r="E860" s="22">
        <v>85</v>
      </c>
      <c r="F860" s="24" t="str">
        <f>PROPER(nutrition!$H860)</f>
        <v>Maizena Tepung</v>
      </c>
      <c r="G860" s="22" t="str">
        <f>IF(nutrition!$B860&gt;300,"Tinggi Kalori",IF(nutrition!$B860&gt;100,"Kalori Sedang","Rendah Kalori"))</f>
        <v>Tinggi Kalori</v>
      </c>
      <c r="H860" s="23" t="s">
        <v>864</v>
      </c>
    </row>
    <row r="861" spans="1:8" x14ac:dyDescent="0.3">
      <c r="A861" s="25">
        <v>860</v>
      </c>
      <c r="B861" s="26">
        <v>363</v>
      </c>
      <c r="C861" s="26">
        <v>87</v>
      </c>
      <c r="D861" s="26">
        <v>4</v>
      </c>
      <c r="E861" s="26">
        <v>787</v>
      </c>
      <c r="F861" s="28" t="str">
        <f>PROPER(nutrition!$H861)</f>
        <v>Makaroni</v>
      </c>
      <c r="G861" s="26" t="str">
        <f>IF(nutrition!$B861&gt;300,"Tinggi Kalori",IF(nutrition!$B861&gt;100,"Kalori Sedang","Rendah Kalori"))</f>
        <v>Tinggi Kalori</v>
      </c>
      <c r="H861" s="27" t="s">
        <v>865</v>
      </c>
    </row>
    <row r="862" spans="1:8" x14ac:dyDescent="0.3">
      <c r="A862" s="21">
        <v>861</v>
      </c>
      <c r="B862" s="22">
        <v>63</v>
      </c>
      <c r="C862" s="22">
        <v>24</v>
      </c>
      <c r="D862" s="22">
        <v>4</v>
      </c>
      <c r="E862" s="22">
        <v>124</v>
      </c>
      <c r="F862" s="24" t="str">
        <f>PROPER(nutrition!$H862)</f>
        <v>Mangga Benggala Segar</v>
      </c>
      <c r="G862" s="22" t="str">
        <f>IF(nutrition!$B862&gt;300,"Tinggi Kalori",IF(nutrition!$B862&gt;100,"Kalori Sedang","Rendah Kalori"))</f>
        <v>Rendah Kalori</v>
      </c>
      <c r="H862" s="23" t="s">
        <v>866</v>
      </c>
    </row>
    <row r="863" spans="1:8" x14ac:dyDescent="0.3">
      <c r="A863" s="25">
        <v>862</v>
      </c>
      <c r="B863" s="26">
        <v>44</v>
      </c>
      <c r="C863" s="26">
        <v>7</v>
      </c>
      <c r="D863" s="26">
        <v>2</v>
      </c>
      <c r="E863" s="26">
        <v>112</v>
      </c>
      <c r="F863" s="28" t="str">
        <f>PROPER(nutrition!$H863)</f>
        <v>Mangga Gedong</v>
      </c>
      <c r="G863" s="26" t="str">
        <f>IF(nutrition!$B863&gt;300,"Tinggi Kalori",IF(nutrition!$B863&gt;100,"Kalori Sedang","Rendah Kalori"))</f>
        <v>Rendah Kalori</v>
      </c>
      <c r="H863" s="27" t="s">
        <v>867</v>
      </c>
    </row>
    <row r="864" spans="1:8" x14ac:dyDescent="0.3">
      <c r="A864" s="21">
        <v>863</v>
      </c>
      <c r="B864" s="22">
        <v>63</v>
      </c>
      <c r="C864" s="22">
        <v>5</v>
      </c>
      <c r="D864" s="22">
        <v>2</v>
      </c>
      <c r="E864" s="22">
        <v>167</v>
      </c>
      <c r="F864" s="24" t="str">
        <f>PROPER(nutrition!$H864)</f>
        <v>Mangga Golek</v>
      </c>
      <c r="G864" s="22" t="str">
        <f>IF(nutrition!$B864&gt;300,"Tinggi Kalori",IF(nutrition!$B864&gt;100,"Kalori Sedang","Rendah Kalori"))</f>
        <v>Rendah Kalori</v>
      </c>
      <c r="H864" s="23" t="s">
        <v>868</v>
      </c>
    </row>
    <row r="865" spans="1:8" x14ac:dyDescent="0.3">
      <c r="A865" s="25">
        <v>864</v>
      </c>
      <c r="B865" s="26">
        <v>46</v>
      </c>
      <c r="C865" s="26">
        <v>4</v>
      </c>
      <c r="D865" s="26">
        <v>2</v>
      </c>
      <c r="E865" s="26">
        <v>119</v>
      </c>
      <c r="F865" s="28" t="str">
        <f>PROPER(nutrition!$H865)</f>
        <v>Mangga Harum Manis</v>
      </c>
      <c r="G865" s="26" t="str">
        <f>IF(nutrition!$B865&gt;300,"Tinggi Kalori",IF(nutrition!$B865&gt;100,"Kalori Sedang","Rendah Kalori"))</f>
        <v>Rendah Kalori</v>
      </c>
      <c r="H865" s="27" t="s">
        <v>869</v>
      </c>
    </row>
    <row r="866" spans="1:8" x14ac:dyDescent="0.3">
      <c r="A866" s="21">
        <v>865</v>
      </c>
      <c r="B866" s="22">
        <v>72</v>
      </c>
      <c r="C866" s="22">
        <v>8</v>
      </c>
      <c r="D866" s="22">
        <v>2</v>
      </c>
      <c r="E866" s="22">
        <v>187</v>
      </c>
      <c r="F866" s="24" t="str">
        <f>PROPER(nutrition!$H866)</f>
        <v>Mangga Indramayu</v>
      </c>
      <c r="G866" s="22" t="str">
        <f>IF(nutrition!$B866&gt;300,"Tinggi Kalori",IF(nutrition!$B866&gt;100,"Kalori Sedang","Rendah Kalori"))</f>
        <v>Rendah Kalori</v>
      </c>
      <c r="H866" s="23" t="s">
        <v>870</v>
      </c>
    </row>
    <row r="867" spans="1:8" x14ac:dyDescent="0.3">
      <c r="A867" s="25">
        <v>866</v>
      </c>
      <c r="B867" s="26">
        <v>56</v>
      </c>
      <c r="C867" s="26">
        <v>4</v>
      </c>
      <c r="D867" s="26">
        <v>2</v>
      </c>
      <c r="E867" s="26">
        <v>146</v>
      </c>
      <c r="F867" s="28" t="str">
        <f>PROPER(nutrition!$H867)</f>
        <v>Mangga Kopek</v>
      </c>
      <c r="G867" s="26" t="str">
        <f>IF(nutrition!$B867&gt;300,"Tinggi Kalori",IF(nutrition!$B867&gt;100,"Kalori Sedang","Rendah Kalori"))</f>
        <v>Rendah Kalori</v>
      </c>
      <c r="H867" s="27" t="s">
        <v>871</v>
      </c>
    </row>
    <row r="868" spans="1:8" x14ac:dyDescent="0.3">
      <c r="A868" s="21">
        <v>867</v>
      </c>
      <c r="B868" s="22">
        <v>86</v>
      </c>
      <c r="C868" s="22">
        <v>7</v>
      </c>
      <c r="D868" s="22">
        <v>5</v>
      </c>
      <c r="E868" s="22">
        <v>198</v>
      </c>
      <c r="F868" s="24" t="str">
        <f>PROPER(nutrition!$H868)</f>
        <v>Mangga Kwini Segar</v>
      </c>
      <c r="G868" s="22" t="str">
        <f>IF(nutrition!$B868&gt;300,"Tinggi Kalori",IF(nutrition!$B868&gt;100,"Kalori Sedang","Rendah Kalori"))</f>
        <v>Rendah Kalori</v>
      </c>
      <c r="H868" s="23" t="s">
        <v>872</v>
      </c>
    </row>
    <row r="869" spans="1:8" x14ac:dyDescent="0.3">
      <c r="A869" s="25">
        <v>868</v>
      </c>
      <c r="B869" s="26">
        <v>133</v>
      </c>
      <c r="C869" s="26">
        <v>1</v>
      </c>
      <c r="D869" s="26">
        <v>1</v>
      </c>
      <c r="E869" s="26">
        <v>321</v>
      </c>
      <c r="F869" s="28" t="str">
        <f>PROPER(nutrition!$H869)</f>
        <v>Mangga Manalagi Segar</v>
      </c>
      <c r="G869" s="26" t="str">
        <f>IF(nutrition!$B869&gt;300,"Tinggi Kalori",IF(nutrition!$B869&gt;100,"Kalori Sedang","Rendah Kalori"))</f>
        <v>Kalori Sedang</v>
      </c>
      <c r="H869" s="27" t="s">
        <v>873</v>
      </c>
    </row>
    <row r="870" spans="1:8" x14ac:dyDescent="0.3">
      <c r="A870" s="21">
        <v>869</v>
      </c>
      <c r="B870" s="22">
        <v>59</v>
      </c>
      <c r="C870" s="22">
        <v>5</v>
      </c>
      <c r="D870" s="22">
        <v>4</v>
      </c>
      <c r="E870" s="22">
        <v>151</v>
      </c>
      <c r="F870" s="24" t="str">
        <f>PROPER(nutrition!$H870)</f>
        <v>Mangga Muda</v>
      </c>
      <c r="G870" s="22" t="str">
        <f>IF(nutrition!$B870&gt;300,"Tinggi Kalori",IF(nutrition!$B870&gt;100,"Kalori Sedang","Rendah Kalori"))</f>
        <v>Rendah Kalori</v>
      </c>
      <c r="H870" s="23" t="s">
        <v>874</v>
      </c>
    </row>
    <row r="871" spans="1:8" x14ac:dyDescent="0.3">
      <c r="A871" s="25">
        <v>870</v>
      </c>
      <c r="B871" s="26">
        <v>52</v>
      </c>
      <c r="C871" s="26">
        <v>7</v>
      </c>
      <c r="D871" s="26">
        <v>0</v>
      </c>
      <c r="E871" s="26">
        <v>123</v>
      </c>
      <c r="F871" s="28" t="str">
        <f>PROPER(nutrition!$H871)</f>
        <v>Mangga Segar</v>
      </c>
      <c r="G871" s="26" t="str">
        <f>IF(nutrition!$B871&gt;300,"Tinggi Kalori",IF(nutrition!$B871&gt;100,"Kalori Sedang","Rendah Kalori"))</f>
        <v>Rendah Kalori</v>
      </c>
      <c r="H871" s="27" t="s">
        <v>875</v>
      </c>
    </row>
    <row r="872" spans="1:8" x14ac:dyDescent="0.3">
      <c r="A872" s="21">
        <v>871</v>
      </c>
      <c r="B872" s="22">
        <v>63</v>
      </c>
      <c r="C872" s="22">
        <v>6</v>
      </c>
      <c r="D872" s="22">
        <v>6</v>
      </c>
      <c r="E872" s="22">
        <v>156</v>
      </c>
      <c r="F872" s="24" t="str">
        <f>PROPER(nutrition!$H872)</f>
        <v>Manggis</v>
      </c>
      <c r="G872" s="22" t="str">
        <f>IF(nutrition!$B872&gt;300,"Tinggi Kalori",IF(nutrition!$B872&gt;100,"Kalori Sedang","Rendah Kalori"))</f>
        <v>Rendah Kalori</v>
      </c>
      <c r="H872" s="23" t="s">
        <v>876</v>
      </c>
    </row>
    <row r="873" spans="1:8" x14ac:dyDescent="0.3">
      <c r="A873" s="25">
        <v>872</v>
      </c>
      <c r="B873" s="26">
        <v>720</v>
      </c>
      <c r="C873" s="26">
        <v>6</v>
      </c>
      <c r="D873" s="26">
        <v>81</v>
      </c>
      <c r="E873" s="26">
        <v>4</v>
      </c>
      <c r="F873" s="28" t="str">
        <f>PROPER(nutrition!$H873)</f>
        <v>Margarin</v>
      </c>
      <c r="G873" s="26" t="str">
        <f>IF(nutrition!$B873&gt;300,"Tinggi Kalori",IF(nutrition!$B873&gt;100,"Kalori Sedang","Rendah Kalori"))</f>
        <v>Tinggi Kalori</v>
      </c>
      <c r="H873" s="27" t="s">
        <v>877</v>
      </c>
    </row>
    <row r="874" spans="1:8" x14ac:dyDescent="0.3">
      <c r="A874" s="21">
        <v>873</v>
      </c>
      <c r="B874" s="22">
        <v>144</v>
      </c>
      <c r="C874" s="22">
        <v>35</v>
      </c>
      <c r="D874" s="22">
        <v>12</v>
      </c>
      <c r="E874" s="22">
        <v>298</v>
      </c>
      <c r="F874" s="24" t="str">
        <f>PROPER(nutrition!$H874)</f>
        <v>Markisa Segar</v>
      </c>
      <c r="G874" s="22" t="str">
        <f>IF(nutrition!$B874&gt;300,"Tinggi Kalori",IF(nutrition!$B874&gt;100,"Kalori Sedang","Rendah Kalori"))</f>
        <v>Kalori Sedang</v>
      </c>
      <c r="H874" s="23" t="s">
        <v>878</v>
      </c>
    </row>
    <row r="875" spans="1:8" x14ac:dyDescent="0.3">
      <c r="A875" s="25">
        <v>874</v>
      </c>
      <c r="B875" s="26">
        <v>217</v>
      </c>
      <c r="C875" s="26">
        <v>25</v>
      </c>
      <c r="D875" s="26">
        <v>1</v>
      </c>
      <c r="E875" s="26">
        <v>496</v>
      </c>
      <c r="F875" s="28" t="str">
        <f>PROPER(nutrition!$H875)</f>
        <v>Markisa Squash</v>
      </c>
      <c r="G875" s="26" t="str">
        <f>IF(nutrition!$B875&gt;300,"Tinggi Kalori",IF(nutrition!$B875&gt;100,"Kalori Sedang","Rendah Kalori"))</f>
        <v>Kalori Sedang</v>
      </c>
      <c r="H875" s="27" t="s">
        <v>879</v>
      </c>
    </row>
    <row r="876" spans="1:8" x14ac:dyDescent="0.3">
      <c r="A876" s="21">
        <v>875</v>
      </c>
      <c r="B876" s="22">
        <v>104</v>
      </c>
      <c r="C876" s="22">
        <v>12</v>
      </c>
      <c r="D876" s="22">
        <v>5</v>
      </c>
      <c r="E876" s="22">
        <v>237</v>
      </c>
      <c r="F876" s="24" t="str">
        <f>PROPER(nutrition!$H876)</f>
        <v>Markisa Squash Bd</v>
      </c>
      <c r="G876" s="22" t="str">
        <f>IF(nutrition!$B876&gt;300,"Tinggi Kalori",IF(nutrition!$B876&gt;100,"Kalori Sedang","Rendah Kalori"))</f>
        <v>Kalori Sedang</v>
      </c>
      <c r="H876" s="23" t="s">
        <v>880</v>
      </c>
    </row>
    <row r="877" spans="1:8" x14ac:dyDescent="0.3">
      <c r="A877" s="25">
        <v>876</v>
      </c>
      <c r="B877" s="26">
        <v>2653</v>
      </c>
      <c r="C877" s="26">
        <v>47</v>
      </c>
      <c r="D877" s="26">
        <v>55</v>
      </c>
      <c r="E877" s="26">
        <v>493</v>
      </c>
      <c r="F877" s="28" t="str">
        <f>PROPER(nutrition!$H877)</f>
        <v>Martabak  Manis</v>
      </c>
      <c r="G877" s="26" t="str">
        <f>IF(nutrition!$B877&gt;300,"Tinggi Kalori",IF(nutrition!$B877&gt;100,"Kalori Sedang","Rendah Kalori"))</f>
        <v>Tinggi Kalori</v>
      </c>
      <c r="H877" s="27" t="s">
        <v>881</v>
      </c>
    </row>
    <row r="878" spans="1:8" x14ac:dyDescent="0.3">
      <c r="A878" s="21">
        <v>877</v>
      </c>
      <c r="B878" s="22">
        <v>153</v>
      </c>
      <c r="C878" s="22">
        <v>45</v>
      </c>
      <c r="D878" s="22">
        <v>42</v>
      </c>
      <c r="E878" s="22">
        <v>243</v>
      </c>
      <c r="F878" s="24" t="str">
        <f>PROPER(nutrition!$H878)</f>
        <v>Martabak India</v>
      </c>
      <c r="G878" s="22" t="str">
        <f>IF(nutrition!$B878&gt;300,"Tinggi Kalori",IF(nutrition!$B878&gt;100,"Kalori Sedang","Rendah Kalori"))</f>
        <v>Kalori Sedang</v>
      </c>
      <c r="H878" s="23" t="s">
        <v>882</v>
      </c>
    </row>
    <row r="879" spans="1:8" x14ac:dyDescent="0.3">
      <c r="A879" s="25">
        <v>878</v>
      </c>
      <c r="B879" s="26">
        <v>278</v>
      </c>
      <c r="C879" s="26">
        <v>51</v>
      </c>
      <c r="D879" s="26">
        <v>86</v>
      </c>
      <c r="E879" s="26">
        <v>45</v>
      </c>
      <c r="F879" s="28" t="str">
        <f>PROPER(nutrition!$H879)</f>
        <v>Martabak Mesir</v>
      </c>
      <c r="G879" s="26" t="str">
        <f>IF(nutrition!$B879&gt;300,"Tinggi Kalori",IF(nutrition!$B879&gt;100,"Kalori Sedang","Rendah Kalori"))</f>
        <v>Kalori Sedang</v>
      </c>
      <c r="H879" s="27" t="s">
        <v>883</v>
      </c>
    </row>
    <row r="880" spans="1:8" x14ac:dyDescent="0.3">
      <c r="A880" s="21">
        <v>879</v>
      </c>
      <c r="B880" s="22">
        <v>200</v>
      </c>
      <c r="C880" s="22">
        <v>89</v>
      </c>
      <c r="D880" s="22">
        <v>51</v>
      </c>
      <c r="E880" s="22">
        <v>295</v>
      </c>
      <c r="F880" s="24" t="str">
        <f>PROPER(nutrition!$H880)</f>
        <v xml:space="preserve">Martabak Telur </v>
      </c>
      <c r="G880" s="22" t="str">
        <f>IF(nutrition!$B880&gt;300,"Tinggi Kalori",IF(nutrition!$B880&gt;100,"Kalori Sedang","Rendah Kalori"))</f>
        <v>Kalori Sedang</v>
      </c>
      <c r="H880" s="23" t="s">
        <v>884</v>
      </c>
    </row>
    <row r="881" spans="1:8" x14ac:dyDescent="0.3">
      <c r="A881" s="25">
        <v>880</v>
      </c>
      <c r="B881" s="26">
        <v>369</v>
      </c>
      <c r="C881" s="26">
        <v>21</v>
      </c>
      <c r="D881" s="26">
        <v>7</v>
      </c>
      <c r="E881" s="26">
        <v>741</v>
      </c>
      <c r="F881" s="28" t="str">
        <f>PROPER(nutrition!$H881)</f>
        <v>Masekat</v>
      </c>
      <c r="G881" s="26" t="str">
        <f>IF(nutrition!$B881&gt;300,"Tinggi Kalori",IF(nutrition!$B881&gt;100,"Kalori Sedang","Rendah Kalori"))</f>
        <v>Tinggi Kalori</v>
      </c>
      <c r="H881" s="27" t="s">
        <v>885</v>
      </c>
    </row>
    <row r="882" spans="1:8" x14ac:dyDescent="0.3">
      <c r="A882" s="21">
        <v>881</v>
      </c>
      <c r="B882" s="22">
        <v>90</v>
      </c>
      <c r="C882" s="22">
        <v>12</v>
      </c>
      <c r="D882" s="22">
        <v>1</v>
      </c>
      <c r="E882" s="22">
        <v>211</v>
      </c>
      <c r="F882" s="24" t="str">
        <f>PROPER(nutrition!$H882)</f>
        <v>Matoa Segar</v>
      </c>
      <c r="G882" s="22" t="str">
        <f>IF(nutrition!$B882&gt;300,"Tinggi Kalori",IF(nutrition!$B882&gt;100,"Kalori Sedang","Rendah Kalori"))</f>
        <v>Rendah Kalori</v>
      </c>
      <c r="H882" s="23" t="s">
        <v>886</v>
      </c>
    </row>
    <row r="883" spans="1:8" x14ac:dyDescent="0.3">
      <c r="A883" s="25">
        <v>882</v>
      </c>
      <c r="B883" s="26">
        <v>276</v>
      </c>
      <c r="C883" s="26">
        <v>0</v>
      </c>
      <c r="D883" s="26">
        <v>1</v>
      </c>
      <c r="E883" s="26">
        <v>71</v>
      </c>
      <c r="F883" s="28" t="str">
        <f>PROPER(nutrition!$H883)</f>
        <v>Melase</v>
      </c>
      <c r="G883" s="26" t="str">
        <f>IF(nutrition!$B883&gt;300,"Tinggi Kalori",IF(nutrition!$B883&gt;100,"Kalori Sedang","Rendah Kalori"))</f>
        <v>Kalori Sedang</v>
      </c>
      <c r="H883" s="27" t="s">
        <v>887</v>
      </c>
    </row>
    <row r="884" spans="1:8" x14ac:dyDescent="0.3">
      <c r="A884" s="21">
        <v>883</v>
      </c>
      <c r="B884" s="22">
        <v>66</v>
      </c>
      <c r="C884" s="22">
        <v>5</v>
      </c>
      <c r="D884" s="22">
        <v>7</v>
      </c>
      <c r="E884" s="22">
        <v>133</v>
      </c>
      <c r="F884" s="24" t="str">
        <f>PROPER(nutrition!$H884)</f>
        <v>Melinjo</v>
      </c>
      <c r="G884" s="22" t="str">
        <f>IF(nutrition!$B884&gt;300,"Tinggi Kalori",IF(nutrition!$B884&gt;100,"Kalori Sedang","Rendah Kalori"))</f>
        <v>Rendah Kalori</v>
      </c>
      <c r="H884" s="23" t="s">
        <v>888</v>
      </c>
    </row>
    <row r="885" spans="1:8" x14ac:dyDescent="0.3">
      <c r="A885" s="25">
        <v>884</v>
      </c>
      <c r="B885" s="26">
        <v>37</v>
      </c>
      <c r="C885" s="26">
        <v>6</v>
      </c>
      <c r="D885" s="26">
        <v>4</v>
      </c>
      <c r="E885" s="26">
        <v>78</v>
      </c>
      <c r="F885" s="28" t="str">
        <f>PROPER(nutrition!$H885)</f>
        <v>Melon Segar</v>
      </c>
      <c r="G885" s="26" t="str">
        <f>IF(nutrition!$B885&gt;300,"Tinggi Kalori",IF(nutrition!$B885&gt;100,"Kalori Sedang","Rendah Kalori"))</f>
        <v>Rendah Kalori</v>
      </c>
      <c r="H885" s="27" t="s">
        <v>889</v>
      </c>
    </row>
    <row r="886" spans="1:8" x14ac:dyDescent="0.3">
      <c r="A886" s="21">
        <v>885</v>
      </c>
      <c r="B886" s="22">
        <v>322</v>
      </c>
      <c r="C886" s="22">
        <v>558</v>
      </c>
      <c r="D886" s="22">
        <v>2</v>
      </c>
      <c r="E886" s="22">
        <v>227</v>
      </c>
      <c r="F886" s="24" t="str">
        <f>PROPER(nutrition!$H886)</f>
        <v>Menjangan Daging Dendeng Mentah</v>
      </c>
      <c r="G886" s="22" t="str">
        <f>IF(nutrition!$B886&gt;300,"Tinggi Kalori",IF(nutrition!$B886&gt;100,"Kalori Sedang","Rendah Kalori"))</f>
        <v>Tinggi Kalori</v>
      </c>
      <c r="H886" s="23" t="s">
        <v>890</v>
      </c>
    </row>
    <row r="887" spans="1:8" x14ac:dyDescent="0.3">
      <c r="A887" s="25">
        <v>886</v>
      </c>
      <c r="B887" s="26">
        <v>725</v>
      </c>
      <c r="C887" s="26">
        <v>5</v>
      </c>
      <c r="D887" s="26">
        <v>816</v>
      </c>
      <c r="E887" s="26">
        <v>14</v>
      </c>
      <c r="F887" s="28" t="str">
        <f>PROPER(nutrition!$H887)</f>
        <v>Mentega</v>
      </c>
      <c r="G887" s="26" t="str">
        <f>IF(nutrition!$B887&gt;300,"Tinggi Kalori",IF(nutrition!$B887&gt;100,"Kalori Sedang","Rendah Kalori"))</f>
        <v>Tinggi Kalori</v>
      </c>
      <c r="H887" s="27" t="s">
        <v>891</v>
      </c>
    </row>
    <row r="888" spans="1:8" x14ac:dyDescent="0.3">
      <c r="A888" s="21">
        <v>887</v>
      </c>
      <c r="B888" s="22">
        <v>65</v>
      </c>
      <c r="C888" s="22">
        <v>17</v>
      </c>
      <c r="D888" s="22">
        <v>2</v>
      </c>
      <c r="E888" s="22">
        <v>161</v>
      </c>
      <c r="F888" s="24" t="str">
        <f>PROPER(nutrition!$H888)</f>
        <v>Menteng</v>
      </c>
      <c r="G888" s="22" t="str">
        <f>IF(nutrition!$B888&gt;300,"Tinggi Kalori",IF(nutrition!$B888&gt;100,"Kalori Sedang","Rendah Kalori"))</f>
        <v>Rendah Kalori</v>
      </c>
      <c r="H888" s="23" t="s">
        <v>892</v>
      </c>
    </row>
    <row r="889" spans="1:8" x14ac:dyDescent="0.3">
      <c r="A889" s="25">
        <v>888</v>
      </c>
      <c r="B889" s="26">
        <v>359</v>
      </c>
      <c r="C889" s="26">
        <v>115</v>
      </c>
      <c r="D889" s="26">
        <v>68</v>
      </c>
      <c r="E889" s="26">
        <v>644</v>
      </c>
      <c r="F889" s="28" t="str">
        <f>PROPER(nutrition!$H889)</f>
        <v>Merica</v>
      </c>
      <c r="G889" s="26" t="str">
        <f>IF(nutrition!$B889&gt;300,"Tinggi Kalori",IF(nutrition!$B889&gt;100,"Kalori Sedang","Rendah Kalori"))</f>
        <v>Tinggi Kalori</v>
      </c>
      <c r="H889" s="27" t="s">
        <v>893</v>
      </c>
    </row>
    <row r="890" spans="1:8" x14ac:dyDescent="0.3">
      <c r="A890" s="21">
        <v>889</v>
      </c>
      <c r="B890" s="22">
        <v>88</v>
      </c>
      <c r="C890" s="22">
        <v>6</v>
      </c>
      <c r="D890" s="22">
        <v>33</v>
      </c>
      <c r="E890" s="22">
        <v>14</v>
      </c>
      <c r="F890" s="24" t="str">
        <f>PROPER(nutrition!$H890)</f>
        <v>Mi Basah</v>
      </c>
      <c r="G890" s="22" t="str">
        <f>IF(nutrition!$B890&gt;300,"Tinggi Kalori",IF(nutrition!$B890&gt;100,"Kalori Sedang","Rendah Kalori"))</f>
        <v>Rendah Kalori</v>
      </c>
      <c r="H890" s="23" t="s">
        <v>894</v>
      </c>
    </row>
    <row r="891" spans="1:8" x14ac:dyDescent="0.3">
      <c r="A891" s="25">
        <v>890</v>
      </c>
      <c r="B891" s="26">
        <v>71</v>
      </c>
      <c r="C891" s="26">
        <v>2</v>
      </c>
      <c r="D891" s="26">
        <v>8</v>
      </c>
      <c r="E891" s="26">
        <v>159</v>
      </c>
      <c r="F891" s="28" t="str">
        <f>PROPER(nutrition!$H891)</f>
        <v>Mi Golosor</v>
      </c>
      <c r="G891" s="26" t="str">
        <f>IF(nutrition!$B891&gt;300,"Tinggi Kalori",IF(nutrition!$B891&gt;100,"Kalori Sedang","Rendah Kalori"))</f>
        <v>Rendah Kalori</v>
      </c>
      <c r="H891" s="27" t="s">
        <v>895</v>
      </c>
    </row>
    <row r="892" spans="1:8" x14ac:dyDescent="0.3">
      <c r="A892" s="21">
        <v>891</v>
      </c>
      <c r="B892" s="22">
        <v>339</v>
      </c>
      <c r="C892" s="22">
        <v>10</v>
      </c>
      <c r="D892" s="22">
        <v>17</v>
      </c>
      <c r="E892" s="22">
        <v>63</v>
      </c>
      <c r="F892" s="24" t="str">
        <f>PROPER(nutrition!$H892)</f>
        <v>Mi Kering</v>
      </c>
      <c r="G892" s="22" t="str">
        <f>IF(nutrition!$B892&gt;300,"Tinggi Kalori",IF(nutrition!$B892&gt;100,"Kalori Sedang","Rendah Kalori"))</f>
        <v>Tinggi Kalori</v>
      </c>
      <c r="H892" s="23" t="s">
        <v>896</v>
      </c>
    </row>
    <row r="893" spans="1:8" x14ac:dyDescent="0.3">
      <c r="A893" s="25">
        <v>892</v>
      </c>
      <c r="B893" s="26">
        <v>113</v>
      </c>
      <c r="C893" s="26">
        <v>3</v>
      </c>
      <c r="D893" s="26">
        <v>32</v>
      </c>
      <c r="E893" s="26">
        <v>181</v>
      </c>
      <c r="F893" s="28" t="str">
        <f>PROPER(nutrition!$H893)</f>
        <v>Mie Aceh Rebus</v>
      </c>
      <c r="G893" s="26" t="str">
        <f>IF(nutrition!$B893&gt;300,"Tinggi Kalori",IF(nutrition!$B893&gt;100,"Kalori Sedang","Rendah Kalori"))</f>
        <v>Kalori Sedang</v>
      </c>
      <c r="H893" s="27" t="s">
        <v>897</v>
      </c>
    </row>
    <row r="894" spans="1:8" x14ac:dyDescent="0.3">
      <c r="A894" s="21">
        <v>893</v>
      </c>
      <c r="B894" s="22">
        <v>102</v>
      </c>
      <c r="C894" s="22">
        <v>62</v>
      </c>
      <c r="D894" s="22">
        <v>39</v>
      </c>
      <c r="E894" s="22">
        <v>105</v>
      </c>
      <c r="F894" s="24" t="str">
        <f>PROPER(nutrition!$H894)</f>
        <v>Mie Ayam</v>
      </c>
      <c r="G894" s="22" t="str">
        <f>IF(nutrition!$B894&gt;300,"Tinggi Kalori",IF(nutrition!$B894&gt;100,"Kalori Sedang","Rendah Kalori"))</f>
        <v>Kalori Sedang</v>
      </c>
      <c r="H894" s="23" t="s">
        <v>898</v>
      </c>
    </row>
    <row r="895" spans="1:8" x14ac:dyDescent="0.3">
      <c r="A895" s="25">
        <v>894</v>
      </c>
      <c r="B895" s="26">
        <v>114</v>
      </c>
      <c r="C895" s="26">
        <v>53</v>
      </c>
      <c r="D895" s="26">
        <v>3</v>
      </c>
      <c r="E895" s="26">
        <v>164</v>
      </c>
      <c r="F895" s="28" t="str">
        <f>PROPER(nutrition!$H895)</f>
        <v>Mie Bakso</v>
      </c>
      <c r="G895" s="26" t="str">
        <f>IF(nutrition!$B895&gt;300,"Tinggi Kalori",IF(nutrition!$B895&gt;100,"Kalori Sedang","Rendah Kalori"))</f>
        <v>Kalori Sedang</v>
      </c>
      <c r="H895" s="27" t="s">
        <v>899</v>
      </c>
    </row>
    <row r="896" spans="1:8" x14ac:dyDescent="0.3">
      <c r="A896" s="21">
        <v>895</v>
      </c>
      <c r="B896" s="22">
        <v>86</v>
      </c>
      <c r="C896" s="22">
        <v>6</v>
      </c>
      <c r="D896" s="22">
        <v>33</v>
      </c>
      <c r="E896" s="22">
        <v>14</v>
      </c>
      <c r="F896" s="24" t="str">
        <f>PROPER(nutrition!$H896)</f>
        <v>Mie Basah</v>
      </c>
      <c r="G896" s="22" t="str">
        <f>IF(nutrition!$B896&gt;300,"Tinggi Kalori",IF(nutrition!$B896&gt;100,"Kalori Sedang","Rendah Kalori"))</f>
        <v>Rendah Kalori</v>
      </c>
      <c r="H896" s="23" t="s">
        <v>900</v>
      </c>
    </row>
    <row r="897" spans="1:8" x14ac:dyDescent="0.3">
      <c r="A897" s="25">
        <v>896</v>
      </c>
      <c r="B897" s="26">
        <v>353</v>
      </c>
      <c r="C897" s="26">
        <v>3</v>
      </c>
      <c r="D897" s="26">
        <v>0</v>
      </c>
      <c r="E897" s="26">
        <v>88</v>
      </c>
      <c r="F897" s="28" t="str">
        <f>PROPER(nutrition!$H897)</f>
        <v>Mie Bendo</v>
      </c>
      <c r="G897" s="26" t="str">
        <f>IF(nutrition!$B897&gt;300,"Tinggi Kalori",IF(nutrition!$B897&gt;100,"Kalori Sedang","Rendah Kalori"))</f>
        <v>Tinggi Kalori</v>
      </c>
      <c r="H897" s="27" t="s">
        <v>901</v>
      </c>
    </row>
    <row r="898" spans="1:8" x14ac:dyDescent="0.3">
      <c r="A898" s="21">
        <v>897</v>
      </c>
      <c r="B898" s="22">
        <v>102</v>
      </c>
      <c r="C898" s="22">
        <v>3</v>
      </c>
      <c r="D898" s="22">
        <v>21</v>
      </c>
      <c r="E898" s="22">
        <v>178</v>
      </c>
      <c r="F898" s="24" t="str">
        <f>PROPER(nutrition!$H898)</f>
        <v>Mie Celon</v>
      </c>
      <c r="G898" s="22" t="str">
        <f>IF(nutrition!$B898&gt;300,"Tinggi Kalori",IF(nutrition!$B898&gt;100,"Kalori Sedang","Rendah Kalori"))</f>
        <v>Kalori Sedang</v>
      </c>
      <c r="H898" s="23" t="s">
        <v>902</v>
      </c>
    </row>
    <row r="899" spans="1:8" x14ac:dyDescent="0.3">
      <c r="A899" s="25">
        <v>898</v>
      </c>
      <c r="B899" s="26">
        <v>468</v>
      </c>
      <c r="C899" s="26">
        <v>76</v>
      </c>
      <c r="D899" s="26">
        <v>204</v>
      </c>
      <c r="E899" s="26">
        <v>624</v>
      </c>
      <c r="F899" s="28" t="str">
        <f>PROPER(nutrition!$H899)</f>
        <v xml:space="preserve">Mie Goreng </v>
      </c>
      <c r="G899" s="26" t="str">
        <f>IF(nutrition!$B899&gt;300,"Tinggi Kalori",IF(nutrition!$B899&gt;100,"Kalori Sedang","Rendah Kalori"))</f>
        <v>Tinggi Kalori</v>
      </c>
      <c r="H899" s="27" t="s">
        <v>903</v>
      </c>
    </row>
    <row r="900" spans="1:8" x14ac:dyDescent="0.3">
      <c r="A900" s="21">
        <v>899</v>
      </c>
      <c r="B900" s="22">
        <v>337</v>
      </c>
      <c r="C900" s="22">
        <v>79</v>
      </c>
      <c r="D900" s="22">
        <v>118</v>
      </c>
      <c r="E900" s="22">
        <v>50</v>
      </c>
      <c r="F900" s="24" t="str">
        <f>PROPER(nutrition!$H900)</f>
        <v>Mie Kering</v>
      </c>
      <c r="G900" s="22" t="str">
        <f>IF(nutrition!$B900&gt;300,"Tinggi Kalori",IF(nutrition!$B900&gt;100,"Kalori Sedang","Rendah Kalori"))</f>
        <v>Tinggi Kalori</v>
      </c>
      <c r="H900" s="23" t="s">
        <v>904</v>
      </c>
    </row>
    <row r="901" spans="1:8" x14ac:dyDescent="0.3">
      <c r="A901" s="25">
        <v>900</v>
      </c>
      <c r="B901" s="26">
        <v>105</v>
      </c>
      <c r="C901" s="26">
        <v>59</v>
      </c>
      <c r="D901" s="26">
        <v>49</v>
      </c>
      <c r="E901" s="26">
        <v>94</v>
      </c>
      <c r="F901" s="28" t="str">
        <f>PROPER(nutrition!$H901)</f>
        <v>Mie Pangsit Basah</v>
      </c>
      <c r="G901" s="26" t="str">
        <f>IF(nutrition!$B901&gt;300,"Tinggi Kalori",IF(nutrition!$B901&gt;100,"Kalori Sedang","Rendah Kalori"))</f>
        <v>Kalori Sedang</v>
      </c>
      <c r="H901" s="27" t="s">
        <v>905</v>
      </c>
    </row>
    <row r="902" spans="1:8" x14ac:dyDescent="0.3">
      <c r="A902" s="21">
        <v>901</v>
      </c>
      <c r="B902" s="22">
        <v>190</v>
      </c>
      <c r="C902" s="22">
        <v>2</v>
      </c>
      <c r="D902" s="22">
        <v>4</v>
      </c>
      <c r="E902" s="22">
        <v>465</v>
      </c>
      <c r="F902" s="24" t="str">
        <f>PROPER(nutrition!$H902)</f>
        <v>Mie Sagu</v>
      </c>
      <c r="G902" s="22" t="str">
        <f>IF(nutrition!$B902&gt;300,"Tinggi Kalori",IF(nutrition!$B902&gt;100,"Kalori Sedang","Rendah Kalori"))</f>
        <v>Kalori Sedang</v>
      </c>
      <c r="H902" s="23" t="s">
        <v>906</v>
      </c>
    </row>
    <row r="903" spans="1:8" x14ac:dyDescent="0.3">
      <c r="A903" s="25">
        <v>902</v>
      </c>
      <c r="B903" s="26">
        <v>902</v>
      </c>
      <c r="C903" s="26">
        <v>0</v>
      </c>
      <c r="D903" s="26">
        <v>100</v>
      </c>
      <c r="E903" s="26">
        <v>0</v>
      </c>
      <c r="F903" s="28" t="str">
        <f>PROPER(nutrition!$H903)</f>
        <v>Minyak Hati Hiu (Eulamia)</v>
      </c>
      <c r="G903" s="26" t="str">
        <f>IF(nutrition!$B903&gt;300,"Tinggi Kalori",IF(nutrition!$B903&gt;100,"Kalori Sedang","Rendah Kalori"))</f>
        <v>Tinggi Kalori</v>
      </c>
      <c r="H903" s="27" t="s">
        <v>907</v>
      </c>
    </row>
    <row r="904" spans="1:8" x14ac:dyDescent="0.3">
      <c r="A904" s="21">
        <v>903</v>
      </c>
      <c r="B904" s="22">
        <v>902</v>
      </c>
      <c r="C904" s="22">
        <v>0</v>
      </c>
      <c r="D904" s="22">
        <v>100</v>
      </c>
      <c r="E904" s="22">
        <v>0</v>
      </c>
      <c r="F904" s="24" t="str">
        <f>PROPER(nutrition!$H904)</f>
        <v>Minyak Ikan</v>
      </c>
      <c r="G904" s="22" t="str">
        <f>IF(nutrition!$B904&gt;300,"Tinggi Kalori",IF(nutrition!$B904&gt;100,"Kalori Sedang","Rendah Kalori"))</f>
        <v>Tinggi Kalori</v>
      </c>
      <c r="H904" s="23" t="s">
        <v>908</v>
      </c>
    </row>
    <row r="905" spans="1:8" x14ac:dyDescent="0.3">
      <c r="A905" s="25">
        <v>904</v>
      </c>
      <c r="B905" s="26">
        <v>902</v>
      </c>
      <c r="C905" s="26">
        <v>0</v>
      </c>
      <c r="D905" s="26">
        <v>100</v>
      </c>
      <c r="E905" s="26">
        <v>0</v>
      </c>
      <c r="F905" s="28" t="str">
        <f>PROPER(nutrition!$H905)</f>
        <v>Minyak Kacang Tanah</v>
      </c>
      <c r="G905" s="26" t="str">
        <f>IF(nutrition!$B905&gt;300,"Tinggi Kalori",IF(nutrition!$B905&gt;100,"Kalori Sedang","Rendah Kalori"))</f>
        <v>Tinggi Kalori</v>
      </c>
      <c r="H905" s="27" t="s">
        <v>909</v>
      </c>
    </row>
    <row r="906" spans="1:8" x14ac:dyDescent="0.3">
      <c r="A906" s="21">
        <v>905</v>
      </c>
      <c r="B906" s="22">
        <v>883</v>
      </c>
      <c r="C906" s="22">
        <v>0</v>
      </c>
      <c r="D906" s="22">
        <v>999</v>
      </c>
      <c r="E906" s="22">
        <v>0</v>
      </c>
      <c r="F906" s="24" t="str">
        <f>PROPER(nutrition!$H906)</f>
        <v>Minyak Kedelai</v>
      </c>
      <c r="G906" s="22" t="str">
        <f>IF(nutrition!$B906&gt;300,"Tinggi Kalori",IF(nutrition!$B906&gt;100,"Kalori Sedang","Rendah Kalori"))</f>
        <v>Tinggi Kalori</v>
      </c>
      <c r="H906" s="23" t="s">
        <v>910</v>
      </c>
    </row>
    <row r="907" spans="1:8" x14ac:dyDescent="0.3">
      <c r="A907" s="25">
        <v>906</v>
      </c>
      <c r="B907" s="26">
        <v>870</v>
      </c>
      <c r="C907" s="26">
        <v>1</v>
      </c>
      <c r="D907" s="26">
        <v>98</v>
      </c>
      <c r="E907" s="26">
        <v>0</v>
      </c>
      <c r="F907" s="28" t="str">
        <f>PROPER(nutrition!$H907)</f>
        <v>Minyak Kelapa</v>
      </c>
      <c r="G907" s="26" t="str">
        <f>IF(nutrition!$B907&gt;300,"Tinggi Kalori",IF(nutrition!$B907&gt;100,"Kalori Sedang","Rendah Kalori"))</f>
        <v>Tinggi Kalori</v>
      </c>
      <c r="H907" s="27" t="s">
        <v>911</v>
      </c>
    </row>
    <row r="908" spans="1:8" x14ac:dyDescent="0.3">
      <c r="A908" s="21">
        <v>907</v>
      </c>
      <c r="B908" s="22">
        <v>902</v>
      </c>
      <c r="C908" s="22">
        <v>0</v>
      </c>
      <c r="D908" s="22">
        <v>100</v>
      </c>
      <c r="E908" s="22">
        <v>0</v>
      </c>
      <c r="F908" s="24" t="str">
        <f>PROPER(nutrition!$H908)</f>
        <v>Minyak Kelapa Sawit</v>
      </c>
      <c r="G908" s="22" t="str">
        <f>IF(nutrition!$B908&gt;300,"Tinggi Kalori",IF(nutrition!$B908&gt;100,"Kalori Sedang","Rendah Kalori"))</f>
        <v>Tinggi Kalori</v>
      </c>
      <c r="H908" s="23" t="s">
        <v>912</v>
      </c>
    </row>
    <row r="909" spans="1:8" x14ac:dyDescent="0.3">
      <c r="A909" s="25">
        <v>908</v>
      </c>
      <c r="B909" s="26">
        <v>902</v>
      </c>
      <c r="C909" s="26">
        <v>0</v>
      </c>
      <c r="D909" s="26">
        <v>100</v>
      </c>
      <c r="E909" s="26">
        <v>0</v>
      </c>
      <c r="F909" s="28" t="str">
        <f>PROPER(nutrition!$H909)</f>
        <v>Minyak Wijen</v>
      </c>
      <c r="G909" s="26" t="str">
        <f>IF(nutrition!$B909&gt;300,"Tinggi Kalori",IF(nutrition!$B909&gt;100,"Kalori Sedang","Rendah Kalori"))</f>
        <v>Tinggi Kalori</v>
      </c>
      <c r="H909" s="27" t="s">
        <v>913</v>
      </c>
    </row>
    <row r="910" spans="1:8" x14ac:dyDescent="0.3">
      <c r="A910" s="21">
        <v>909</v>
      </c>
      <c r="B910" s="22">
        <v>884</v>
      </c>
      <c r="C910" s="22">
        <v>0</v>
      </c>
      <c r="D910" s="22">
        <v>100</v>
      </c>
      <c r="E910" s="22">
        <v>0</v>
      </c>
      <c r="F910" s="24" t="str">
        <f>PROPER(nutrition!$H910)</f>
        <v>Minyak Zaitun</v>
      </c>
      <c r="G910" s="22" t="str">
        <f>IF(nutrition!$B910&gt;300,"Tinggi Kalori",IF(nutrition!$B910&gt;100,"Kalori Sedang","Rendah Kalori"))</f>
        <v>Tinggi Kalori</v>
      </c>
      <c r="H910" s="23" t="s">
        <v>914</v>
      </c>
    </row>
    <row r="911" spans="1:8" x14ac:dyDescent="0.3">
      <c r="A911" s="25">
        <v>910</v>
      </c>
      <c r="B911" s="26">
        <v>345</v>
      </c>
      <c r="C911" s="26">
        <v>85</v>
      </c>
      <c r="D911" s="26">
        <v>22</v>
      </c>
      <c r="E911" s="26">
        <v>78</v>
      </c>
      <c r="F911" s="28" t="str">
        <f>PROPER(nutrition!$H911)</f>
        <v>Misoa</v>
      </c>
      <c r="G911" s="26" t="str">
        <f>IF(nutrition!$B911&gt;300,"Tinggi Kalori",IF(nutrition!$B911&gt;100,"Kalori Sedang","Rendah Kalori"))</f>
        <v>Tinggi Kalori</v>
      </c>
      <c r="H911" s="27" t="s">
        <v>915</v>
      </c>
    </row>
    <row r="912" spans="1:8" x14ac:dyDescent="0.3">
      <c r="A912" s="21">
        <v>911</v>
      </c>
      <c r="B912" s="22">
        <v>218</v>
      </c>
      <c r="C912" s="22">
        <v>8</v>
      </c>
      <c r="D912" s="22">
        <v>16</v>
      </c>
      <c r="E912" s="22">
        <v>502</v>
      </c>
      <c r="F912" s="24" t="str">
        <f>PROPER(nutrition!$H912)</f>
        <v xml:space="preserve">Misro </v>
      </c>
      <c r="G912" s="22" t="str">
        <f>IF(nutrition!$B912&gt;300,"Tinggi Kalori",IF(nutrition!$B912&gt;100,"Kalori Sedang","Rendah Kalori"))</f>
        <v>Kalori Sedang</v>
      </c>
      <c r="H912" s="23" t="s">
        <v>916</v>
      </c>
    </row>
    <row r="913" spans="1:8" x14ac:dyDescent="0.3">
      <c r="A913" s="25">
        <v>912</v>
      </c>
      <c r="B913" s="26">
        <v>128</v>
      </c>
      <c r="C913" s="26">
        <v>8</v>
      </c>
      <c r="D913" s="26">
        <v>10</v>
      </c>
      <c r="E913" s="26">
        <v>13</v>
      </c>
      <c r="F913" s="28" t="str">
        <f>PROPER(nutrition!$H913)</f>
        <v>Moon Tahu</v>
      </c>
      <c r="G913" s="26" t="str">
        <f>IF(nutrition!$B913&gt;300,"Tinggi Kalori",IF(nutrition!$B913&gt;100,"Kalori Sedang","Rendah Kalori"))</f>
        <v>Kalori Sedang</v>
      </c>
      <c r="H913" s="27" t="s">
        <v>917</v>
      </c>
    </row>
    <row r="914" spans="1:8" x14ac:dyDescent="0.3">
      <c r="A914" s="21">
        <v>913</v>
      </c>
      <c r="B914" s="22">
        <v>33</v>
      </c>
      <c r="C914" s="22">
        <v>23</v>
      </c>
      <c r="D914" s="22">
        <v>5</v>
      </c>
      <c r="E914" s="22">
        <v>47</v>
      </c>
      <c r="F914" s="24" t="str">
        <f>PROPER(nutrition!$H914)</f>
        <v>Mostarda Metan -Sawi</v>
      </c>
      <c r="G914" s="22" t="str">
        <f>IF(nutrition!$B914&gt;300,"Tinggi Kalori",IF(nutrition!$B914&gt;100,"Kalori Sedang","Rendah Kalori"))</f>
        <v>Rendah Kalori</v>
      </c>
      <c r="H914" s="23" t="s">
        <v>918</v>
      </c>
    </row>
    <row r="915" spans="1:8" x14ac:dyDescent="0.3">
      <c r="A915" s="25">
        <v>914</v>
      </c>
      <c r="B915" s="26">
        <v>330</v>
      </c>
      <c r="C915" s="26">
        <v>178</v>
      </c>
      <c r="D915" s="26">
        <v>234</v>
      </c>
      <c r="E915" s="26">
        <v>121</v>
      </c>
      <c r="F915" s="28" t="str">
        <f>PROPER(nutrition!$H915)</f>
        <v>Mujahir Acar Kuning Masakan</v>
      </c>
      <c r="G915" s="26" t="str">
        <f>IF(nutrition!$B915&gt;300,"Tinggi Kalori",IF(nutrition!$B915&gt;100,"Kalori Sedang","Rendah Kalori"))</f>
        <v>Tinggi Kalori</v>
      </c>
      <c r="H915" s="27" t="s">
        <v>919</v>
      </c>
    </row>
    <row r="916" spans="1:8" x14ac:dyDescent="0.3">
      <c r="A916" s="21">
        <v>915</v>
      </c>
      <c r="B916" s="22">
        <v>478</v>
      </c>
      <c r="C916" s="22">
        <v>383</v>
      </c>
      <c r="D916" s="22">
        <v>339</v>
      </c>
      <c r="E916" s="22">
        <v>51</v>
      </c>
      <c r="F916" s="24" t="str">
        <f>PROPER(nutrition!$H916)</f>
        <v>Naan Maran Sapi Masakan</v>
      </c>
      <c r="G916" s="22" t="str">
        <f>IF(nutrition!$B916&gt;300,"Tinggi Kalori",IF(nutrition!$B916&gt;100,"Kalori Sedang","Rendah Kalori"))</f>
        <v>Tinggi Kalori</v>
      </c>
      <c r="H916" s="23" t="s">
        <v>920</v>
      </c>
    </row>
    <row r="917" spans="1:8" x14ac:dyDescent="0.3">
      <c r="A917" s="25">
        <v>916</v>
      </c>
      <c r="B917" s="26">
        <v>52</v>
      </c>
      <c r="C917" s="26">
        <v>4</v>
      </c>
      <c r="D917" s="26">
        <v>2</v>
      </c>
      <c r="E917" s="26">
        <v>137</v>
      </c>
      <c r="F917" s="28" t="str">
        <f>PROPER(nutrition!$H917)</f>
        <v>Nanas</v>
      </c>
      <c r="G917" s="26" t="str">
        <f>IF(nutrition!$B917&gt;300,"Tinggi Kalori",IF(nutrition!$B917&gt;100,"Kalori Sedang","Rendah Kalori"))</f>
        <v>Rendah Kalori</v>
      </c>
      <c r="H917" s="27" t="s">
        <v>921</v>
      </c>
    </row>
    <row r="918" spans="1:8" x14ac:dyDescent="0.3">
      <c r="A918" s="21">
        <v>917</v>
      </c>
      <c r="B918" s="22">
        <v>58</v>
      </c>
      <c r="C918" s="22">
        <v>7</v>
      </c>
      <c r="D918" s="22">
        <v>2</v>
      </c>
      <c r="E918" s="22">
        <v>133</v>
      </c>
      <c r="F918" s="24" t="str">
        <f>PROPER(nutrition!$H918)</f>
        <v>Nanas Palembang Segar</v>
      </c>
      <c r="G918" s="22" t="str">
        <f>IF(nutrition!$B918&gt;300,"Tinggi Kalori",IF(nutrition!$B918&gt;100,"Kalori Sedang","Rendah Kalori"))</f>
        <v>Rendah Kalori</v>
      </c>
      <c r="H918" s="23" t="s">
        <v>922</v>
      </c>
    </row>
    <row r="919" spans="1:8" x14ac:dyDescent="0.3">
      <c r="A919" s="25">
        <v>918</v>
      </c>
      <c r="B919" s="26">
        <v>165</v>
      </c>
      <c r="C919" s="26">
        <v>42</v>
      </c>
      <c r="D919" s="26">
        <v>1</v>
      </c>
      <c r="E919" s="26">
        <v>367</v>
      </c>
      <c r="F919" s="28" t="str">
        <f>PROPER(nutrition!$H919)</f>
        <v>Nangka Biji</v>
      </c>
      <c r="G919" s="26" t="str">
        <f>IF(nutrition!$B919&gt;300,"Tinggi Kalori",IF(nutrition!$B919&gt;100,"Kalori Sedang","Rendah Kalori"))</f>
        <v>Kalori Sedang</v>
      </c>
      <c r="H919" s="27" t="s">
        <v>923</v>
      </c>
    </row>
    <row r="920" spans="1:8" x14ac:dyDescent="0.3">
      <c r="A920" s="21">
        <v>919</v>
      </c>
      <c r="B920" s="22">
        <v>106</v>
      </c>
      <c r="C920" s="22">
        <v>12</v>
      </c>
      <c r="D920" s="22">
        <v>3</v>
      </c>
      <c r="E920" s="22">
        <v>276</v>
      </c>
      <c r="F920" s="24" t="str">
        <f>PROPER(nutrition!$H920)</f>
        <v>Nangka Masak Di Pohon</v>
      </c>
      <c r="G920" s="22" t="str">
        <f>IF(nutrition!$B920&gt;300,"Tinggi Kalori",IF(nutrition!$B920&gt;100,"Kalori Sedang","Rendah Kalori"))</f>
        <v>Kalori Sedang</v>
      </c>
      <c r="H920" s="23" t="s">
        <v>924</v>
      </c>
    </row>
    <row r="921" spans="1:8" x14ac:dyDescent="0.3">
      <c r="A921" s="25">
        <v>920</v>
      </c>
      <c r="B921" s="26">
        <v>51</v>
      </c>
      <c r="C921" s="26">
        <v>2</v>
      </c>
      <c r="D921" s="26">
        <v>4</v>
      </c>
      <c r="E921" s="26">
        <v>113</v>
      </c>
      <c r="F921" s="28" t="str">
        <f>PROPER(nutrition!$H921)</f>
        <v>Nangka Muda</v>
      </c>
      <c r="G921" s="26" t="str">
        <f>IF(nutrition!$B921&gt;300,"Tinggi Kalori",IF(nutrition!$B921&gt;100,"Kalori Sedang","Rendah Kalori"))</f>
        <v>Rendah Kalori</v>
      </c>
      <c r="H921" s="27" t="s">
        <v>925</v>
      </c>
    </row>
    <row r="922" spans="1:8" x14ac:dyDescent="0.3">
      <c r="A922" s="21">
        <v>921</v>
      </c>
      <c r="B922" s="22">
        <v>180</v>
      </c>
      <c r="C922" s="22">
        <v>3</v>
      </c>
      <c r="D922" s="22">
        <v>3</v>
      </c>
      <c r="E922" s="22">
        <v>398</v>
      </c>
      <c r="F922" s="24" t="str">
        <f>PROPER(nutrition!$H922)</f>
        <v>Nasi</v>
      </c>
      <c r="G922" s="22" t="str">
        <f>IF(nutrition!$B922&gt;300,"Tinggi Kalori",IF(nutrition!$B922&gt;100,"Kalori Sedang","Rendah Kalori"))</f>
        <v>Kalori Sedang</v>
      </c>
      <c r="H922" s="23" t="s">
        <v>926</v>
      </c>
    </row>
    <row r="923" spans="1:8" x14ac:dyDescent="0.3">
      <c r="A923" s="25">
        <v>922</v>
      </c>
      <c r="B923" s="26">
        <v>149</v>
      </c>
      <c r="C923" s="26">
        <v>28</v>
      </c>
      <c r="D923" s="26">
        <v>4</v>
      </c>
      <c r="E923" s="26">
        <v>325</v>
      </c>
      <c r="F923" s="28" t="str">
        <f>PROPER(nutrition!$H923)</f>
        <v>Nasi Beras Merah</v>
      </c>
      <c r="G923" s="26" t="str">
        <f>IF(nutrition!$B923&gt;300,"Tinggi Kalori",IF(nutrition!$B923&gt;100,"Kalori Sedang","Rendah Kalori"))</f>
        <v>Kalori Sedang</v>
      </c>
      <c r="H923" s="27" t="s">
        <v>927</v>
      </c>
    </row>
    <row r="924" spans="1:8" x14ac:dyDescent="0.3">
      <c r="A924" s="21">
        <v>923</v>
      </c>
      <c r="B924" s="22">
        <v>192</v>
      </c>
      <c r="C924" s="22">
        <v>38</v>
      </c>
      <c r="D924" s="22">
        <v>88</v>
      </c>
      <c r="E924" s="22">
        <v>244</v>
      </c>
      <c r="F924" s="24" t="str">
        <f>PROPER(nutrition!$H924)</f>
        <v>Nasi Gemuk</v>
      </c>
      <c r="G924" s="22" t="str">
        <f>IF(nutrition!$B924&gt;300,"Tinggi Kalori",IF(nutrition!$B924&gt;100,"Kalori Sedang","Rendah Kalori"))</f>
        <v>Kalori Sedang</v>
      </c>
      <c r="H924" s="23" t="s">
        <v>928</v>
      </c>
    </row>
    <row r="925" spans="1:8" x14ac:dyDescent="0.3">
      <c r="A925" s="25">
        <v>924</v>
      </c>
      <c r="B925" s="26">
        <v>276</v>
      </c>
      <c r="C925" s="26">
        <v>32</v>
      </c>
      <c r="D925" s="26">
        <v>32</v>
      </c>
      <c r="E925" s="26">
        <v>302</v>
      </c>
      <c r="F925" s="28" t="str">
        <f>PROPER(nutrition!$H925)</f>
        <v xml:space="preserve">Nasi Goreng </v>
      </c>
      <c r="G925" s="26" t="str">
        <f>IF(nutrition!$B925&gt;300,"Tinggi Kalori",IF(nutrition!$B925&gt;100,"Kalori Sedang","Rendah Kalori"))</f>
        <v>Kalori Sedang</v>
      </c>
      <c r="H925" s="27" t="s">
        <v>929</v>
      </c>
    </row>
    <row r="926" spans="1:8" x14ac:dyDescent="0.3">
      <c r="A926" s="21">
        <v>925</v>
      </c>
      <c r="B926" s="22">
        <v>190</v>
      </c>
      <c r="C926" s="22">
        <v>47</v>
      </c>
      <c r="D926" s="22">
        <v>75</v>
      </c>
      <c r="E926" s="22">
        <v>26</v>
      </c>
      <c r="F926" s="24" t="str">
        <f>PROPER(nutrition!$H926)</f>
        <v>Nasi Gurih</v>
      </c>
      <c r="G926" s="22" t="str">
        <f>IF(nutrition!$B926&gt;300,"Tinggi Kalori",IF(nutrition!$B926&gt;100,"Kalori Sedang","Rendah Kalori"))</f>
        <v>Kalori Sedang</v>
      </c>
      <c r="H926" s="23" t="s">
        <v>930</v>
      </c>
    </row>
    <row r="927" spans="1:8" x14ac:dyDescent="0.3">
      <c r="A927" s="25">
        <v>926</v>
      </c>
      <c r="B927" s="26">
        <v>357</v>
      </c>
      <c r="C927" s="26">
        <v>88</v>
      </c>
      <c r="D927" s="26">
        <v>5</v>
      </c>
      <c r="E927" s="26">
        <v>795</v>
      </c>
      <c r="F927" s="28" t="str">
        <f>PROPER(nutrition!$H927)</f>
        <v>Nasi Jagung</v>
      </c>
      <c r="G927" s="26" t="str">
        <f>IF(nutrition!$B927&gt;300,"Tinggi Kalori",IF(nutrition!$B927&gt;100,"Kalori Sedang","Rendah Kalori"))</f>
        <v>Tinggi Kalori</v>
      </c>
      <c r="H927" s="27" t="s">
        <v>931</v>
      </c>
    </row>
    <row r="928" spans="1:8" x14ac:dyDescent="0.3">
      <c r="A928" s="21">
        <v>927</v>
      </c>
      <c r="B928" s="22">
        <v>207</v>
      </c>
      <c r="C928" s="22">
        <v>35</v>
      </c>
      <c r="D928" s="22">
        <v>5</v>
      </c>
      <c r="E928" s="22">
        <v>371</v>
      </c>
      <c r="F928" s="24" t="str">
        <f>PROPER(nutrition!$H928)</f>
        <v>Nasi Minyak</v>
      </c>
      <c r="G928" s="22" t="str">
        <f>IF(nutrition!$B928&gt;300,"Tinggi Kalori",IF(nutrition!$B928&gt;100,"Kalori Sedang","Rendah Kalori"))</f>
        <v>Kalori Sedang</v>
      </c>
      <c r="H928" s="23" t="s">
        <v>932</v>
      </c>
    </row>
    <row r="929" spans="1:8" x14ac:dyDescent="0.3">
      <c r="A929" s="25">
        <v>928</v>
      </c>
      <c r="B929" s="26">
        <v>155</v>
      </c>
      <c r="C929" s="26">
        <v>103</v>
      </c>
      <c r="D929" s="26">
        <v>42</v>
      </c>
      <c r="E929" s="26">
        <v>191</v>
      </c>
      <c r="F929" s="28" t="str">
        <f>PROPER(nutrition!$H929)</f>
        <v>Nasi Rames</v>
      </c>
      <c r="G929" s="26" t="str">
        <f>IF(nutrition!$B929&gt;300,"Tinggi Kalori",IF(nutrition!$B929&gt;100,"Kalori Sedang","Rendah Kalori"))</f>
        <v>Kalori Sedang</v>
      </c>
      <c r="H929" s="27" t="s">
        <v>933</v>
      </c>
    </row>
    <row r="930" spans="1:8" x14ac:dyDescent="0.3">
      <c r="A930" s="21">
        <v>929</v>
      </c>
      <c r="B930" s="22">
        <v>120</v>
      </c>
      <c r="C930" s="22">
        <v>24</v>
      </c>
      <c r="D930" s="22">
        <v>4</v>
      </c>
      <c r="E930" s="22">
        <v>26</v>
      </c>
      <c r="F930" s="24" t="str">
        <f>PROPER(nutrition!$H930)</f>
        <v>Nasi Tim</v>
      </c>
      <c r="G930" s="22" t="str">
        <f>IF(nutrition!$B930&gt;300,"Tinggi Kalori",IF(nutrition!$B930&gt;100,"Kalori Sedang","Rendah Kalori"))</f>
        <v>Kalori Sedang</v>
      </c>
      <c r="H930" s="23" t="s">
        <v>934</v>
      </c>
    </row>
    <row r="931" spans="1:8" x14ac:dyDescent="0.3">
      <c r="A931" s="25">
        <v>930</v>
      </c>
      <c r="B931" s="26">
        <v>2533</v>
      </c>
      <c r="C931" s="26">
        <v>43</v>
      </c>
      <c r="D931" s="26">
        <v>21</v>
      </c>
      <c r="E931" s="26">
        <v>117</v>
      </c>
      <c r="F931" s="28" t="str">
        <f>PROPER(nutrition!$H931)</f>
        <v xml:space="preserve">Nasi Uduk </v>
      </c>
      <c r="G931" s="26" t="str">
        <f>IF(nutrition!$B931&gt;300,"Tinggi Kalori",IF(nutrition!$B931&gt;100,"Kalori Sedang","Rendah Kalori"))</f>
        <v>Tinggi Kalori</v>
      </c>
      <c r="H931" s="27" t="s">
        <v>935</v>
      </c>
    </row>
    <row r="932" spans="1:8" x14ac:dyDescent="0.3">
      <c r="A932" s="21">
        <v>931</v>
      </c>
      <c r="B932" s="22">
        <v>196</v>
      </c>
      <c r="C932" s="22">
        <v>145</v>
      </c>
      <c r="D932" s="22">
        <v>83</v>
      </c>
      <c r="E932" s="22">
        <v>159</v>
      </c>
      <c r="F932" s="24" t="str">
        <f>PROPER(nutrition!$H932)</f>
        <v>Nasu Likku Masakan</v>
      </c>
      <c r="G932" s="22" t="str">
        <f>IF(nutrition!$B932&gt;300,"Tinggi Kalori",IF(nutrition!$B932&gt;100,"Kalori Sedang","Rendah Kalori"))</f>
        <v>Kalori Sedang</v>
      </c>
      <c r="H932" s="23" t="s">
        <v>936</v>
      </c>
    </row>
    <row r="933" spans="1:8" x14ac:dyDescent="0.3">
      <c r="A933" s="25">
        <v>932</v>
      </c>
      <c r="B933" s="26">
        <v>600</v>
      </c>
      <c r="C933" s="26">
        <v>14</v>
      </c>
      <c r="D933" s="26">
        <v>417</v>
      </c>
      <c r="E933" s="26">
        <v>42</v>
      </c>
      <c r="F933" s="28" t="str">
        <f>PROPER(nutrition!$H933)</f>
        <v xml:space="preserve">Noga Kacang Tanah </v>
      </c>
      <c r="G933" s="26" t="str">
        <f>IF(nutrition!$B933&gt;300,"Tinggi Kalori",IF(nutrition!$B933&gt;100,"Kalori Sedang","Rendah Kalori"))</f>
        <v>Tinggi Kalori</v>
      </c>
      <c r="H933" s="27" t="s">
        <v>937</v>
      </c>
    </row>
    <row r="934" spans="1:8" x14ac:dyDescent="0.3">
      <c r="A934" s="21">
        <v>933</v>
      </c>
      <c r="B934" s="22">
        <v>387</v>
      </c>
      <c r="C934" s="22">
        <v>53</v>
      </c>
      <c r="D934" s="22">
        <v>76</v>
      </c>
      <c r="E934" s="22">
        <v>743</v>
      </c>
      <c r="F934" s="24" t="str">
        <f>PROPER(nutrition!$H934)</f>
        <v>Nopia Spesial</v>
      </c>
      <c r="G934" s="22" t="str">
        <f>IF(nutrition!$B934&gt;300,"Tinggi Kalori",IF(nutrition!$B934&gt;100,"Kalori Sedang","Rendah Kalori"))</f>
        <v>Tinggi Kalori</v>
      </c>
      <c r="H934" s="23" t="s">
        <v>938</v>
      </c>
    </row>
    <row r="935" spans="1:8" x14ac:dyDescent="0.3">
      <c r="A935" s="25">
        <v>934</v>
      </c>
      <c r="B935" s="26">
        <v>9</v>
      </c>
      <c r="C935" s="26">
        <v>21</v>
      </c>
      <c r="D935" s="26">
        <v>6</v>
      </c>
      <c r="E935" s="26">
        <v>71</v>
      </c>
      <c r="F935" s="28" t="str">
        <f>PROPER(nutrition!$H935)</f>
        <v>Olah-Olah</v>
      </c>
      <c r="G935" s="26" t="str">
        <f>IF(nutrition!$B935&gt;300,"Tinggi Kalori",IF(nutrition!$B935&gt;100,"Kalori Sedang","Rendah Kalori"))</f>
        <v>Rendah Kalori</v>
      </c>
      <c r="H935" s="27" t="s">
        <v>939</v>
      </c>
    </row>
    <row r="936" spans="1:8" x14ac:dyDescent="0.3">
      <c r="A936" s="21">
        <v>935</v>
      </c>
      <c r="B936" s="22">
        <v>187</v>
      </c>
      <c r="C936" s="22">
        <v>13</v>
      </c>
      <c r="D936" s="22">
        <v>6</v>
      </c>
      <c r="E936" s="22">
        <v>226</v>
      </c>
      <c r="F936" s="24" t="str">
        <f>PROPER(nutrition!$H936)</f>
        <v>Oncom</v>
      </c>
      <c r="G936" s="22" t="str">
        <f>IF(nutrition!$B936&gt;300,"Tinggi Kalori",IF(nutrition!$B936&gt;100,"Kalori Sedang","Rendah Kalori"))</f>
        <v>Kalori Sedang</v>
      </c>
      <c r="H936" s="23" t="s">
        <v>940</v>
      </c>
    </row>
    <row r="937" spans="1:8" x14ac:dyDescent="0.3">
      <c r="A937" s="25">
        <v>936</v>
      </c>
      <c r="B937" s="26">
        <v>376</v>
      </c>
      <c r="C937" s="26">
        <v>149</v>
      </c>
      <c r="D937" s="26">
        <v>6</v>
      </c>
      <c r="E937" s="26">
        <v>657</v>
      </c>
      <c r="F937" s="28" t="str">
        <f>PROPER(nutrition!$H937)</f>
        <v>Oncom Ampas Kacang Hijau</v>
      </c>
      <c r="G937" s="26" t="str">
        <f>IF(nutrition!$B937&gt;300,"Tinggi Kalori",IF(nutrition!$B937&gt;100,"Kalori Sedang","Rendah Kalori"))</f>
        <v>Tinggi Kalori</v>
      </c>
      <c r="H937" s="27" t="s">
        <v>941</v>
      </c>
    </row>
    <row r="938" spans="1:8" x14ac:dyDescent="0.3">
      <c r="A938" s="21">
        <v>937</v>
      </c>
      <c r="B938" s="22">
        <v>3633</v>
      </c>
      <c r="C938" s="22">
        <v>193</v>
      </c>
      <c r="D938" s="22">
        <v>193</v>
      </c>
      <c r="E938" s="22">
        <v>403</v>
      </c>
      <c r="F938" s="24" t="str">
        <f>PROPER(nutrition!$H938)</f>
        <v xml:space="preserve">Oncom Goreng </v>
      </c>
      <c r="G938" s="22" t="str">
        <f>IF(nutrition!$B938&gt;300,"Tinggi Kalori",IF(nutrition!$B938&gt;100,"Kalori Sedang","Rendah Kalori"))</f>
        <v>Tinggi Kalori</v>
      </c>
      <c r="H938" s="23" t="s">
        <v>942</v>
      </c>
    </row>
    <row r="939" spans="1:8" x14ac:dyDescent="0.3">
      <c r="A939" s="25">
        <v>938</v>
      </c>
      <c r="B939" s="26">
        <v>284</v>
      </c>
      <c r="C939" s="26">
        <v>12</v>
      </c>
      <c r="D939" s="26">
        <v>144</v>
      </c>
      <c r="E939" s="26">
        <v>136</v>
      </c>
      <c r="F939" s="28" t="str">
        <f>PROPER(nutrition!$H939)</f>
        <v xml:space="preserve">Oncom Hitam Goreng </v>
      </c>
      <c r="G939" s="26" t="str">
        <f>IF(nutrition!$B939&gt;300,"Tinggi Kalori",IF(nutrition!$B939&gt;100,"Kalori Sedang","Rendah Kalori"))</f>
        <v>Kalori Sedang</v>
      </c>
      <c r="H939" s="27" t="s">
        <v>943</v>
      </c>
    </row>
    <row r="940" spans="1:8" x14ac:dyDescent="0.3">
      <c r="A940" s="21">
        <v>939</v>
      </c>
      <c r="B940" s="22">
        <v>3067</v>
      </c>
      <c r="C940" s="22">
        <v>9</v>
      </c>
      <c r="D940" s="22">
        <v>18</v>
      </c>
      <c r="E940" s="22">
        <v>27</v>
      </c>
      <c r="F940" s="24" t="str">
        <f>PROPER(nutrition!$H940)</f>
        <v xml:space="preserve">Oncom Hitam Goreng Bertepung </v>
      </c>
      <c r="G940" s="22" t="str">
        <f>IF(nutrition!$B940&gt;300,"Tinggi Kalori",IF(nutrition!$B940&gt;100,"Kalori Sedang","Rendah Kalori"))</f>
        <v>Tinggi Kalori</v>
      </c>
      <c r="H940" s="23" t="s">
        <v>944</v>
      </c>
    </row>
    <row r="941" spans="1:8" x14ac:dyDescent="0.3">
      <c r="A941" s="25">
        <v>940</v>
      </c>
      <c r="B941" s="26">
        <v>351</v>
      </c>
      <c r="C941" s="26">
        <v>11</v>
      </c>
      <c r="D941" s="26">
        <v>53</v>
      </c>
      <c r="E941" s="26">
        <v>659</v>
      </c>
      <c r="F941" s="28" t="str">
        <f>PROPER(nutrition!$H941)</f>
        <v>Oncom Kacang Hijau + Singkong</v>
      </c>
      <c r="G941" s="26" t="str">
        <f>IF(nutrition!$B941&gt;300,"Tinggi Kalori",IF(nutrition!$B941&gt;100,"Kalori Sedang","Rendah Kalori"))</f>
        <v>Tinggi Kalori</v>
      </c>
      <c r="H941" s="27" t="s">
        <v>945</v>
      </c>
    </row>
    <row r="942" spans="1:8" x14ac:dyDescent="0.3">
      <c r="A942" s="21">
        <v>941</v>
      </c>
      <c r="B942" s="22">
        <v>132</v>
      </c>
      <c r="C942" s="22">
        <v>127</v>
      </c>
      <c r="D942" s="22">
        <v>38</v>
      </c>
      <c r="E942" s="22">
        <v>137</v>
      </c>
      <c r="F942" s="24" t="str">
        <f>PROPER(nutrition!$H942)</f>
        <v>Oncom Kacang Tanah Pepes</v>
      </c>
      <c r="G942" s="22" t="str">
        <f>IF(nutrition!$B942&gt;300,"Tinggi Kalori",IF(nutrition!$B942&gt;100,"Kalori Sedang","Rendah Kalori"))</f>
        <v>Kalori Sedang</v>
      </c>
      <c r="H942" s="23" t="s">
        <v>946</v>
      </c>
    </row>
    <row r="943" spans="1:8" x14ac:dyDescent="0.3">
      <c r="A943" s="25">
        <v>942</v>
      </c>
      <c r="B943" s="26">
        <v>187</v>
      </c>
      <c r="C943" s="26">
        <v>13</v>
      </c>
      <c r="D943" s="26">
        <v>6</v>
      </c>
      <c r="E943" s="26">
        <v>226</v>
      </c>
      <c r="F943" s="28" t="str">
        <f>PROPER(nutrition!$H943)</f>
        <v>Oncom Kedele</v>
      </c>
      <c r="G943" s="26" t="str">
        <f>IF(nutrition!$B943&gt;300,"Tinggi Kalori",IF(nutrition!$B943&gt;100,"Kalori Sedang","Rendah Kalori"))</f>
        <v>Kalori Sedang</v>
      </c>
      <c r="H943" s="27" t="s">
        <v>947</v>
      </c>
    </row>
    <row r="944" spans="1:8" x14ac:dyDescent="0.3">
      <c r="A944" s="21">
        <v>943</v>
      </c>
      <c r="B944" s="22">
        <v>368</v>
      </c>
      <c r="C944" s="22">
        <v>68</v>
      </c>
      <c r="D944" s="22">
        <v>32</v>
      </c>
      <c r="E944" s="22">
        <v>132</v>
      </c>
      <c r="F944" s="24" t="str">
        <f>PROPER(nutrition!$H944)</f>
        <v xml:space="preserve">Oncom Merah Goreng </v>
      </c>
      <c r="G944" s="22" t="str">
        <f>IF(nutrition!$B944&gt;300,"Tinggi Kalori",IF(nutrition!$B944&gt;100,"Kalori Sedang","Rendah Kalori"))</f>
        <v>Tinggi Kalori</v>
      </c>
      <c r="H944" s="23" t="s">
        <v>948</v>
      </c>
    </row>
    <row r="945" spans="1:8" x14ac:dyDescent="0.3">
      <c r="A945" s="25">
        <v>944</v>
      </c>
      <c r="B945" s="26">
        <v>320</v>
      </c>
      <c r="C945" s="26">
        <v>73</v>
      </c>
      <c r="D945" s="26">
        <v>187</v>
      </c>
      <c r="E945" s="26">
        <v>31</v>
      </c>
      <c r="F945" s="28" t="str">
        <f>PROPER(nutrition!$H945)</f>
        <v xml:space="preserve">Oncom Merah Goreng Bertepung </v>
      </c>
      <c r="G945" s="26" t="str">
        <f>IF(nutrition!$B945&gt;300,"Tinggi Kalori",IF(nutrition!$B945&gt;100,"Kalori Sedang","Rendah Kalori"))</f>
        <v>Tinggi Kalori</v>
      </c>
      <c r="H945" s="27" t="s">
        <v>949</v>
      </c>
    </row>
    <row r="946" spans="1:8" x14ac:dyDescent="0.3">
      <c r="A946" s="21">
        <v>945</v>
      </c>
      <c r="B946" s="22">
        <v>40</v>
      </c>
      <c r="C946" s="22">
        <v>2</v>
      </c>
      <c r="D946" s="22">
        <v>2</v>
      </c>
      <c r="E946" s="22">
        <v>3</v>
      </c>
      <c r="F946" s="24" t="str">
        <f>PROPER(nutrition!$H946)</f>
        <v xml:space="preserve">Oncom Merah Sayur (Tumis) </v>
      </c>
      <c r="G946" s="22" t="str">
        <f>IF(nutrition!$B946&gt;300,"Tinggi Kalori",IF(nutrition!$B946&gt;100,"Kalori Sedang","Rendah Kalori"))</f>
        <v>Rendah Kalori</v>
      </c>
      <c r="H946" s="23" t="s">
        <v>950</v>
      </c>
    </row>
    <row r="947" spans="1:8" x14ac:dyDescent="0.3">
      <c r="A947" s="25">
        <v>946</v>
      </c>
      <c r="B947" s="26">
        <v>76</v>
      </c>
      <c r="C947" s="26">
        <v>52</v>
      </c>
      <c r="D947" s="26">
        <v>18</v>
      </c>
      <c r="E947" s="26">
        <v>106</v>
      </c>
      <c r="F947" s="28" t="str">
        <f>PROPER(nutrition!$H947)</f>
        <v>Oncom Pepes</v>
      </c>
      <c r="G947" s="26" t="str">
        <f>IF(nutrition!$B947&gt;300,"Tinggi Kalori",IF(nutrition!$B947&gt;100,"Kalori Sedang","Rendah Kalori"))</f>
        <v>Rendah Kalori</v>
      </c>
      <c r="H947" s="27" t="s">
        <v>951</v>
      </c>
    </row>
    <row r="948" spans="1:8" x14ac:dyDescent="0.3">
      <c r="A948" s="21">
        <v>947</v>
      </c>
      <c r="B948" s="22">
        <v>2886</v>
      </c>
      <c r="C948" s="22">
        <v>83</v>
      </c>
      <c r="D948" s="22">
        <v>89</v>
      </c>
      <c r="E948" s="22">
        <v>443</v>
      </c>
      <c r="F948" s="24" t="str">
        <f>PROPER(nutrition!$H948)</f>
        <v xml:space="preserve">Onde-Onde </v>
      </c>
      <c r="G948" s="22" t="str">
        <f>IF(nutrition!$B948&gt;300,"Tinggi Kalori",IF(nutrition!$B948&gt;100,"Kalori Sedang","Rendah Kalori"))</f>
        <v>Tinggi Kalori</v>
      </c>
      <c r="H948" s="23" t="s">
        <v>952</v>
      </c>
    </row>
    <row r="949" spans="1:8" x14ac:dyDescent="0.3">
      <c r="A949" s="25">
        <v>948</v>
      </c>
      <c r="B949" s="26">
        <v>115</v>
      </c>
      <c r="C949" s="26">
        <v>15</v>
      </c>
      <c r="D949" s="26">
        <v>6</v>
      </c>
      <c r="E949" s="26">
        <v>14</v>
      </c>
      <c r="F949" s="28" t="str">
        <f>PROPER(nutrition!$H949)</f>
        <v xml:space="preserve">Ongol-Ongol </v>
      </c>
      <c r="G949" s="26" t="str">
        <f>IF(nutrition!$B949&gt;300,"Tinggi Kalori",IF(nutrition!$B949&gt;100,"Kalori Sedang","Rendah Kalori"))</f>
        <v>Kalori Sedang</v>
      </c>
      <c r="H949" s="27" t="s">
        <v>953</v>
      </c>
    </row>
    <row r="950" spans="1:8" x14ac:dyDescent="0.3">
      <c r="A950" s="21">
        <v>949</v>
      </c>
      <c r="B950" s="22">
        <v>111</v>
      </c>
      <c r="C950" s="22">
        <v>3</v>
      </c>
      <c r="D950" s="22">
        <v>27</v>
      </c>
      <c r="E950" s="22">
        <v>212</v>
      </c>
      <c r="F950" s="24" t="str">
        <f>PROPER(nutrition!$H950)</f>
        <v>Ongol-Ongol Sagu</v>
      </c>
      <c r="G950" s="22" t="str">
        <f>IF(nutrition!$B950&gt;300,"Tinggi Kalori",IF(nutrition!$B950&gt;100,"Kalori Sedang","Rendah Kalori"))</f>
        <v>Kalori Sedang</v>
      </c>
      <c r="H950" s="23" t="s">
        <v>954</v>
      </c>
    </row>
    <row r="951" spans="1:8" x14ac:dyDescent="0.3">
      <c r="A951" s="25">
        <v>950</v>
      </c>
      <c r="B951" s="26">
        <v>940</v>
      </c>
      <c r="C951" s="26">
        <v>36</v>
      </c>
      <c r="D951" s="26">
        <v>42</v>
      </c>
      <c r="E951" s="26">
        <v>104</v>
      </c>
      <c r="F951" s="28" t="str">
        <f>PROPER(nutrition!$H951)</f>
        <v xml:space="preserve">Opak Singkong </v>
      </c>
      <c r="G951" s="26" t="str">
        <f>IF(nutrition!$B951&gt;300,"Tinggi Kalori",IF(nutrition!$B951&gt;100,"Kalori Sedang","Rendah Kalori"))</f>
        <v>Tinggi Kalori</v>
      </c>
      <c r="H951" s="27" t="s">
        <v>955</v>
      </c>
    </row>
    <row r="952" spans="1:8" x14ac:dyDescent="0.3">
      <c r="A952" s="21">
        <v>951</v>
      </c>
      <c r="B952" s="22">
        <v>117</v>
      </c>
      <c r="C952" s="22">
        <v>137</v>
      </c>
      <c r="D952" s="22">
        <v>5</v>
      </c>
      <c r="E952" s="22">
        <v>43</v>
      </c>
      <c r="F952" s="24" t="str">
        <f>PROPER(nutrition!$H952)</f>
        <v>Oramu Ninahu Ndawa Olaho Masakan</v>
      </c>
      <c r="G952" s="22" t="str">
        <f>IF(nutrition!$B952&gt;300,"Tinggi Kalori",IF(nutrition!$B952&gt;100,"Kalori Sedang","Rendah Kalori"))</f>
        <v>Kalori Sedang</v>
      </c>
      <c r="H952" s="23" t="s">
        <v>956</v>
      </c>
    </row>
    <row r="953" spans="1:8" x14ac:dyDescent="0.3">
      <c r="A953" s="25">
        <v>952</v>
      </c>
      <c r="B953" s="26">
        <v>125</v>
      </c>
      <c r="C953" s="26">
        <v>104</v>
      </c>
      <c r="D953" s="26">
        <v>86</v>
      </c>
      <c r="E953" s="26">
        <v>8</v>
      </c>
      <c r="F953" s="28" t="str">
        <f>PROPER(nutrition!$H953)</f>
        <v>Otak</v>
      </c>
      <c r="G953" s="26" t="str">
        <f>IF(nutrition!$B953&gt;300,"Tinggi Kalori",IF(nutrition!$B953&gt;100,"Kalori Sedang","Rendah Kalori"))</f>
        <v>Kalori Sedang</v>
      </c>
      <c r="H953" s="27" t="s">
        <v>957</v>
      </c>
    </row>
    <row r="954" spans="1:8" x14ac:dyDescent="0.3">
      <c r="A954" s="21">
        <v>953</v>
      </c>
      <c r="B954" s="22">
        <v>351</v>
      </c>
      <c r="C954" s="22">
        <v>9</v>
      </c>
      <c r="D954" s="22">
        <v>9</v>
      </c>
      <c r="E954" s="22">
        <v>849</v>
      </c>
      <c r="F954" s="24" t="str">
        <f>PROPER(nutrition!$H954)</f>
        <v>Oyek</v>
      </c>
      <c r="G954" s="22" t="str">
        <f>IF(nutrition!$B954&gt;300,"Tinggi Kalori",IF(nutrition!$B954&gt;100,"Kalori Sedang","Rendah Kalori"))</f>
        <v>Tinggi Kalori</v>
      </c>
      <c r="H954" s="23" t="s">
        <v>958</v>
      </c>
    </row>
    <row r="955" spans="1:8" x14ac:dyDescent="0.3">
      <c r="A955" s="25">
        <v>954</v>
      </c>
      <c r="B955" s="26">
        <v>342</v>
      </c>
      <c r="C955" s="26">
        <v>23</v>
      </c>
      <c r="D955" s="26">
        <v>1</v>
      </c>
      <c r="E955" s="26">
        <v>831</v>
      </c>
      <c r="F955" s="28" t="str">
        <f>PROPER(nutrition!$H955)</f>
        <v>Oyek (Dari Singkong)</v>
      </c>
      <c r="G955" s="26" t="str">
        <f>IF(nutrition!$B955&gt;300,"Tinggi Kalori",IF(nutrition!$B955&gt;100,"Kalori Sedang","Rendah Kalori"))</f>
        <v>Tinggi Kalori</v>
      </c>
      <c r="H955" s="27" t="s">
        <v>959</v>
      </c>
    </row>
    <row r="956" spans="1:8" x14ac:dyDescent="0.3">
      <c r="A956" s="21">
        <v>955</v>
      </c>
      <c r="B956" s="22">
        <v>77</v>
      </c>
      <c r="C956" s="22">
        <v>35</v>
      </c>
      <c r="D956" s="22">
        <v>46</v>
      </c>
      <c r="E956" s="22">
        <v>54</v>
      </c>
      <c r="F956" s="24" t="str">
        <f>PROPER(nutrition!$H956)</f>
        <v>Paku Hinela Wulelenggapaya</v>
      </c>
      <c r="G956" s="22" t="str">
        <f>IF(nutrition!$B956&gt;300,"Tinggi Kalori",IF(nutrition!$B956&gt;100,"Kalori Sedang","Rendah Kalori"))</f>
        <v>Rendah Kalori</v>
      </c>
      <c r="H956" s="23" t="s">
        <v>960</v>
      </c>
    </row>
    <row r="957" spans="1:8" x14ac:dyDescent="0.3">
      <c r="A957" s="25">
        <v>956</v>
      </c>
      <c r="B957" s="26">
        <v>494</v>
      </c>
      <c r="C957" s="26">
        <v>75</v>
      </c>
      <c r="D957" s="26">
        <v>364</v>
      </c>
      <c r="E957" s="26">
        <v>401</v>
      </c>
      <c r="F957" s="28" t="str">
        <f>PROPER(nutrition!$H957)</f>
        <v>Pala Biji</v>
      </c>
      <c r="G957" s="26" t="str">
        <f>IF(nutrition!$B957&gt;300,"Tinggi Kalori",IF(nutrition!$B957&gt;100,"Kalori Sedang","Rendah Kalori"))</f>
        <v>Tinggi Kalori</v>
      </c>
      <c r="H957" s="27" t="s">
        <v>961</v>
      </c>
    </row>
    <row r="958" spans="1:8" x14ac:dyDescent="0.3">
      <c r="A958" s="21">
        <v>957</v>
      </c>
      <c r="B958" s="22">
        <v>42</v>
      </c>
      <c r="C958" s="22">
        <v>3</v>
      </c>
      <c r="D958" s="22">
        <v>2</v>
      </c>
      <c r="E958" s="22">
        <v>109</v>
      </c>
      <c r="F958" s="24" t="str">
        <f>PROPER(nutrition!$H958)</f>
        <v>Pala Daging</v>
      </c>
      <c r="G958" s="22" t="str">
        <f>IF(nutrition!$B958&gt;300,"Tinggi Kalori",IF(nutrition!$B958&gt;100,"Kalori Sedang","Rendah Kalori"))</f>
        <v>Rendah Kalori</v>
      </c>
      <c r="H958" s="23" t="s">
        <v>962</v>
      </c>
    </row>
    <row r="959" spans="1:8" x14ac:dyDescent="0.3">
      <c r="A959" s="25">
        <v>958</v>
      </c>
      <c r="B959" s="26">
        <v>460</v>
      </c>
      <c r="C959" s="26">
        <v>285</v>
      </c>
      <c r="D959" s="26">
        <v>352</v>
      </c>
      <c r="E959" s="26">
        <v>72</v>
      </c>
      <c r="F959" s="28" t="str">
        <f>PROPER(nutrition!$H959)</f>
        <v>Paniki Masak Santan Masakan</v>
      </c>
      <c r="G959" s="26" t="str">
        <f>IF(nutrition!$B959&gt;300,"Tinggi Kalori",IF(nutrition!$B959&gt;100,"Kalori Sedang","Rendah Kalori"))</f>
        <v>Tinggi Kalori</v>
      </c>
      <c r="H959" s="27" t="s">
        <v>963</v>
      </c>
    </row>
    <row r="960" spans="1:8" x14ac:dyDescent="0.3">
      <c r="A960" s="21">
        <v>959</v>
      </c>
      <c r="B960" s="22">
        <v>1338</v>
      </c>
      <c r="C960" s="22">
        <v>3</v>
      </c>
      <c r="D960" s="22">
        <v>16</v>
      </c>
      <c r="E960" s="22">
        <v>27</v>
      </c>
      <c r="F960" s="24" t="str">
        <f>PROPER(nutrition!$H960)</f>
        <v xml:space="preserve">Papais </v>
      </c>
      <c r="G960" s="22" t="str">
        <f>IF(nutrition!$B960&gt;300,"Tinggi Kalori",IF(nutrition!$B960&gt;100,"Kalori Sedang","Rendah Kalori"))</f>
        <v>Tinggi Kalori</v>
      </c>
      <c r="H960" s="23" t="s">
        <v>964</v>
      </c>
    </row>
    <row r="961" spans="1:8" x14ac:dyDescent="0.3">
      <c r="A961" s="25">
        <v>960</v>
      </c>
      <c r="B961" s="26">
        <v>61</v>
      </c>
      <c r="C961" s="26">
        <v>2</v>
      </c>
      <c r="D961" s="26">
        <v>1</v>
      </c>
      <c r="E961" s="26">
        <v>149</v>
      </c>
      <c r="F961" s="28" t="str">
        <f>PROPER(nutrition!$H961)</f>
        <v>Papeda</v>
      </c>
      <c r="G961" s="26" t="str">
        <f>IF(nutrition!$B961&gt;300,"Tinggi Kalori",IF(nutrition!$B961&gt;100,"Kalori Sedang","Rendah Kalori"))</f>
        <v>Rendah Kalori</v>
      </c>
      <c r="H961" s="27" t="s">
        <v>965</v>
      </c>
    </row>
    <row r="962" spans="1:8" x14ac:dyDescent="0.3">
      <c r="A962" s="21">
        <v>961</v>
      </c>
      <c r="B962" s="22">
        <v>87</v>
      </c>
      <c r="C962" s="22">
        <v>105</v>
      </c>
      <c r="D962" s="22">
        <v>25</v>
      </c>
      <c r="E962" s="22">
        <v>55</v>
      </c>
      <c r="F962" s="24" t="str">
        <f>PROPER(nutrition!$H962)</f>
        <v>Parede Baleh Masakan</v>
      </c>
      <c r="G962" s="22" t="str">
        <f>IF(nutrition!$B962&gt;300,"Tinggi Kalori",IF(nutrition!$B962&gt;100,"Kalori Sedang","Rendah Kalori"))</f>
        <v>Rendah Kalori</v>
      </c>
      <c r="H962" s="23" t="s">
        <v>966</v>
      </c>
    </row>
    <row r="963" spans="1:8" x14ac:dyDescent="0.3">
      <c r="A963" s="25">
        <v>962</v>
      </c>
      <c r="B963" s="26">
        <v>29</v>
      </c>
      <c r="C963" s="26">
        <v>11</v>
      </c>
      <c r="D963" s="26">
        <v>3</v>
      </c>
      <c r="E963" s="26">
        <v>66</v>
      </c>
      <c r="F963" s="28" t="str">
        <f>PROPER(nutrition!$H963)</f>
        <v>Paria (Pare)</v>
      </c>
      <c r="G963" s="26" t="str">
        <f>IF(nutrition!$B963&gt;300,"Tinggi Kalori",IF(nutrition!$B963&gt;100,"Kalori Sedang","Rendah Kalori"))</f>
        <v>Rendah Kalori</v>
      </c>
      <c r="H963" s="27" t="s">
        <v>967</v>
      </c>
    </row>
    <row r="964" spans="1:8" x14ac:dyDescent="0.3">
      <c r="A964" s="21">
        <v>963</v>
      </c>
      <c r="B964" s="22">
        <v>16</v>
      </c>
      <c r="C964" s="22">
        <v>8</v>
      </c>
      <c r="D964" s="22">
        <v>2</v>
      </c>
      <c r="E964" s="22">
        <v>34</v>
      </c>
      <c r="F964" s="24" t="str">
        <f>PROPER(nutrition!$H964)</f>
        <v>Paria Putih Kukus</v>
      </c>
      <c r="G964" s="22" t="str">
        <f>IF(nutrition!$B964&gt;300,"Tinggi Kalori",IF(nutrition!$B964&gt;100,"Kalori Sedang","Rendah Kalori"))</f>
        <v>Rendah Kalori</v>
      </c>
      <c r="H964" s="23" t="s">
        <v>968</v>
      </c>
    </row>
    <row r="965" spans="1:8" x14ac:dyDescent="0.3">
      <c r="A965" s="25">
        <v>964</v>
      </c>
      <c r="B965" s="26">
        <v>19</v>
      </c>
      <c r="C965" s="26">
        <v>1</v>
      </c>
      <c r="D965" s="26">
        <v>4</v>
      </c>
      <c r="E965" s="26">
        <v>36</v>
      </c>
      <c r="F965" s="28" t="str">
        <f>PROPER(nutrition!$H965)</f>
        <v>Paria Putih Segar</v>
      </c>
      <c r="G965" s="26" t="str">
        <f>IF(nutrition!$B965&gt;300,"Tinggi Kalori",IF(nutrition!$B965&gt;100,"Kalori Sedang","Rendah Kalori"))</f>
        <v>Rendah Kalori</v>
      </c>
      <c r="H965" s="27" t="s">
        <v>969</v>
      </c>
    </row>
    <row r="966" spans="1:8" x14ac:dyDescent="0.3">
      <c r="A966" s="21">
        <v>965</v>
      </c>
      <c r="B966" s="22">
        <v>307</v>
      </c>
      <c r="C966" s="22">
        <v>45</v>
      </c>
      <c r="D966" s="22">
        <v>133</v>
      </c>
      <c r="E966" s="22">
        <v>424</v>
      </c>
      <c r="F966" s="24" t="str">
        <f>PROPER(nutrition!$H966)</f>
        <v>Pastel</v>
      </c>
      <c r="G966" s="22" t="str">
        <f>IF(nutrition!$B966&gt;300,"Tinggi Kalori",IF(nutrition!$B966&gt;100,"Kalori Sedang","Rendah Kalori"))</f>
        <v>Tinggi Kalori</v>
      </c>
      <c r="H966" s="23" t="s">
        <v>970</v>
      </c>
    </row>
    <row r="967" spans="1:8" x14ac:dyDescent="0.3">
      <c r="A967" s="25">
        <v>966</v>
      </c>
      <c r="B967" s="26">
        <v>362</v>
      </c>
      <c r="C967" s="26">
        <v>5</v>
      </c>
      <c r="D967" s="26">
        <v>3</v>
      </c>
      <c r="E967" s="26">
        <v>869</v>
      </c>
      <c r="F967" s="28" t="str">
        <f>PROPER(nutrition!$H967)</f>
        <v>Pati Singkong (Tapioka)</v>
      </c>
      <c r="G967" s="26" t="str">
        <f>IF(nutrition!$B967&gt;300,"Tinggi Kalori",IF(nutrition!$B967&gt;100,"Kalori Sedang","Rendah Kalori"))</f>
        <v>Tinggi Kalori</v>
      </c>
      <c r="H967" s="27" t="s">
        <v>971</v>
      </c>
    </row>
    <row r="968" spans="1:8" x14ac:dyDescent="0.3">
      <c r="A968" s="21">
        <v>967</v>
      </c>
      <c r="B968" s="22">
        <v>23</v>
      </c>
      <c r="C968" s="22">
        <v>18</v>
      </c>
      <c r="D968" s="22">
        <v>3</v>
      </c>
      <c r="E968" s="22">
        <v>45</v>
      </c>
      <c r="F968" s="24" t="str">
        <f>PROPER(nutrition!$H968)</f>
        <v>Pe-Cay</v>
      </c>
      <c r="G968" s="22" t="str">
        <f>IF(nutrition!$B968&gt;300,"Tinggi Kalori",IF(nutrition!$B968&gt;100,"Kalori Sedang","Rendah Kalori"))</f>
        <v>Rendah Kalori</v>
      </c>
      <c r="H968" s="23" t="s">
        <v>972</v>
      </c>
    </row>
    <row r="969" spans="1:8" x14ac:dyDescent="0.3">
      <c r="A969" s="25">
        <v>968</v>
      </c>
      <c r="B969" s="26">
        <v>156</v>
      </c>
      <c r="C969" s="26">
        <v>28</v>
      </c>
      <c r="D969" s="26">
        <v>4</v>
      </c>
      <c r="E969" s="26">
        <v>0</v>
      </c>
      <c r="F969" s="28" t="str">
        <f>PROPER(nutrition!$H969)</f>
        <v>Peda Ikan Banjar</v>
      </c>
      <c r="G969" s="26" t="str">
        <f>IF(nutrition!$B969&gt;300,"Tinggi Kalori",IF(nutrition!$B969&gt;100,"Kalori Sedang","Rendah Kalori"))</f>
        <v>Kalori Sedang</v>
      </c>
      <c r="H969" s="27" t="s">
        <v>973</v>
      </c>
    </row>
    <row r="970" spans="1:8" x14ac:dyDescent="0.3">
      <c r="A970" s="21">
        <v>969</v>
      </c>
      <c r="B970" s="22">
        <v>75</v>
      </c>
      <c r="C970" s="22">
        <v>25</v>
      </c>
      <c r="D970" s="22">
        <v>28</v>
      </c>
      <c r="E970" s="22">
        <v>10</v>
      </c>
      <c r="F970" s="24" t="str">
        <f>PROPER(nutrition!$H970)</f>
        <v>Pelecing Kangkung</v>
      </c>
      <c r="G970" s="22" t="str">
        <f>IF(nutrition!$B970&gt;300,"Tinggi Kalori",IF(nutrition!$B970&gt;100,"Kalori Sedang","Rendah Kalori"))</f>
        <v>Rendah Kalori</v>
      </c>
      <c r="H970" s="23" t="s">
        <v>974</v>
      </c>
    </row>
    <row r="971" spans="1:8" x14ac:dyDescent="0.3">
      <c r="A971" s="25">
        <v>970</v>
      </c>
      <c r="B971" s="26">
        <v>219</v>
      </c>
      <c r="C971" s="26">
        <v>197</v>
      </c>
      <c r="D971" s="26">
        <v>136</v>
      </c>
      <c r="E971" s="26">
        <v>44</v>
      </c>
      <c r="F971" s="28" t="str">
        <f>PROPER(nutrition!$H971)</f>
        <v>Pelepah Manuk Masakan</v>
      </c>
      <c r="G971" s="26" t="str">
        <f>IF(nutrition!$B971&gt;300,"Tinggi Kalori",IF(nutrition!$B971&gt;100,"Kalori Sedang","Rendah Kalori"))</f>
        <v>Kalori Sedang</v>
      </c>
      <c r="H971" s="27" t="s">
        <v>975</v>
      </c>
    </row>
    <row r="972" spans="1:8" x14ac:dyDescent="0.3">
      <c r="A972" s="21">
        <v>971</v>
      </c>
      <c r="B972" s="22">
        <v>162</v>
      </c>
      <c r="C972" s="22">
        <v>49</v>
      </c>
      <c r="D972" s="22">
        <v>3</v>
      </c>
      <c r="E972" s="22">
        <v>278</v>
      </c>
      <c r="F972" s="24" t="str">
        <f>PROPER(nutrition!$H972)</f>
        <v>Pempek Adaan</v>
      </c>
      <c r="G972" s="22" t="str">
        <f>IF(nutrition!$B972&gt;300,"Tinggi Kalori",IF(nutrition!$B972&gt;100,"Kalori Sedang","Rendah Kalori"))</f>
        <v>Kalori Sedang</v>
      </c>
      <c r="H972" s="23" t="s">
        <v>976</v>
      </c>
    </row>
    <row r="973" spans="1:8" x14ac:dyDescent="0.3">
      <c r="A973" s="25">
        <v>972</v>
      </c>
      <c r="B973" s="26">
        <v>156</v>
      </c>
      <c r="C973" s="26">
        <v>42</v>
      </c>
      <c r="D973" s="26">
        <v>14</v>
      </c>
      <c r="E973" s="26">
        <v>316</v>
      </c>
      <c r="F973" s="28" t="str">
        <f>PROPER(nutrition!$H973)</f>
        <v>Pempek Belida</v>
      </c>
      <c r="G973" s="26" t="str">
        <f>IF(nutrition!$B973&gt;300,"Tinggi Kalori",IF(nutrition!$B973&gt;100,"Kalori Sedang","Rendah Kalori"))</f>
        <v>Kalori Sedang</v>
      </c>
      <c r="H973" s="27" t="s">
        <v>977</v>
      </c>
    </row>
    <row r="974" spans="1:8" x14ac:dyDescent="0.3">
      <c r="A974" s="21">
        <v>973</v>
      </c>
      <c r="B974" s="22">
        <v>152</v>
      </c>
      <c r="C974" s="22">
        <v>45</v>
      </c>
      <c r="D974" s="22">
        <v>23</v>
      </c>
      <c r="E974" s="22">
        <v>282</v>
      </c>
      <c r="F974" s="24" t="str">
        <f>PROPER(nutrition!$H974)</f>
        <v>Pempek Kapal Selam</v>
      </c>
      <c r="G974" s="22" t="str">
        <f>IF(nutrition!$B974&gt;300,"Tinggi Kalori",IF(nutrition!$B974&gt;100,"Kalori Sedang","Rendah Kalori"))</f>
        <v>Kalori Sedang</v>
      </c>
      <c r="H974" s="23" t="s">
        <v>978</v>
      </c>
    </row>
    <row r="975" spans="1:8" x14ac:dyDescent="0.3">
      <c r="A975" s="25">
        <v>974</v>
      </c>
      <c r="B975" s="26">
        <v>211</v>
      </c>
      <c r="C975" s="26">
        <v>123</v>
      </c>
      <c r="D975" s="26">
        <v>61</v>
      </c>
      <c r="E975" s="26">
        <v>266</v>
      </c>
      <c r="F975" s="28" t="str">
        <f>PROPER(nutrition!$H975)</f>
        <v>Pempek Kelesan</v>
      </c>
      <c r="G975" s="26" t="str">
        <f>IF(nutrition!$B975&gt;300,"Tinggi Kalori",IF(nutrition!$B975&gt;100,"Kalori Sedang","Rendah Kalori"))</f>
        <v>Kalori Sedang</v>
      </c>
      <c r="H975" s="27" t="s">
        <v>979</v>
      </c>
    </row>
    <row r="976" spans="1:8" x14ac:dyDescent="0.3">
      <c r="A976" s="21">
        <v>975</v>
      </c>
      <c r="B976" s="22">
        <v>243</v>
      </c>
      <c r="C976" s="22">
        <v>52</v>
      </c>
      <c r="D976" s="22">
        <v>73</v>
      </c>
      <c r="E976" s="22">
        <v>391</v>
      </c>
      <c r="F976" s="24" t="str">
        <f>PROPER(nutrition!$H976)</f>
        <v>Pempek Kulit</v>
      </c>
      <c r="G976" s="22" t="str">
        <f>IF(nutrition!$B976&gt;300,"Tinggi Kalori",IF(nutrition!$B976&gt;100,"Kalori Sedang","Rendah Kalori"))</f>
        <v>Kalori Sedang</v>
      </c>
      <c r="H976" s="23" t="s">
        <v>980</v>
      </c>
    </row>
    <row r="977" spans="1:8" x14ac:dyDescent="0.3">
      <c r="A977" s="25">
        <v>976</v>
      </c>
      <c r="B977" s="26">
        <v>173</v>
      </c>
      <c r="C977" s="26">
        <v>72</v>
      </c>
      <c r="D977" s="26">
        <v>12</v>
      </c>
      <c r="E977" s="26">
        <v>334</v>
      </c>
      <c r="F977" s="28" t="str">
        <f>PROPER(nutrition!$H977)</f>
        <v>Pempek Tenggiri</v>
      </c>
      <c r="G977" s="26" t="str">
        <f>IF(nutrition!$B977&gt;300,"Tinggi Kalori",IF(nutrition!$B977&gt;100,"Kalori Sedang","Rendah Kalori"))</f>
        <v>Kalori Sedang</v>
      </c>
      <c r="H977" s="27" t="s">
        <v>981</v>
      </c>
    </row>
    <row r="978" spans="1:8" x14ac:dyDescent="0.3">
      <c r="A978" s="21">
        <v>977</v>
      </c>
      <c r="B978" s="22">
        <v>372</v>
      </c>
      <c r="C978" s="22">
        <v>78</v>
      </c>
      <c r="D978" s="22">
        <v>363</v>
      </c>
      <c r="E978" s="22">
        <v>35</v>
      </c>
      <c r="F978" s="24" t="str">
        <f>PROPER(nutrition!$H978)</f>
        <v>Pencok Lele Masakan</v>
      </c>
      <c r="G978" s="22" t="str">
        <f>IF(nutrition!$B978&gt;300,"Tinggi Kalori",IF(nutrition!$B978&gt;100,"Kalori Sedang","Rendah Kalori"))</f>
        <v>Tinggi Kalori</v>
      </c>
      <c r="H978" s="23" t="s">
        <v>982</v>
      </c>
    </row>
    <row r="979" spans="1:8" x14ac:dyDescent="0.3">
      <c r="A979" s="25">
        <v>978</v>
      </c>
      <c r="B979" s="26">
        <v>174</v>
      </c>
      <c r="C979" s="26">
        <v>131</v>
      </c>
      <c r="D979" s="26">
        <v>122</v>
      </c>
      <c r="E979" s="26">
        <v>22</v>
      </c>
      <c r="F979" s="28" t="str">
        <f>PROPER(nutrition!$H979)</f>
        <v>Penyu Serapah Masakan</v>
      </c>
      <c r="G979" s="26" t="str">
        <f>IF(nutrition!$B979&gt;300,"Tinggi Kalori",IF(nutrition!$B979&gt;100,"Kalori Sedang","Rendah Kalori"))</f>
        <v>Kalori Sedang</v>
      </c>
      <c r="H979" s="27" t="s">
        <v>983</v>
      </c>
    </row>
    <row r="980" spans="1:8" x14ac:dyDescent="0.3">
      <c r="A980" s="21">
        <v>979</v>
      </c>
      <c r="B980" s="22">
        <v>19</v>
      </c>
      <c r="C980" s="22">
        <v>6</v>
      </c>
      <c r="D980" s="22">
        <v>1</v>
      </c>
      <c r="E980" s="22">
        <v>39</v>
      </c>
      <c r="F980" s="24" t="str">
        <f>PROPER(nutrition!$H980)</f>
        <v>Pepare Ular Segar</v>
      </c>
      <c r="G980" s="22" t="str">
        <f>IF(nutrition!$B980&gt;300,"Tinggi Kalori",IF(nutrition!$B980&gt;100,"Kalori Sedang","Rendah Kalori"))</f>
        <v>Rendah Kalori</v>
      </c>
      <c r="H980" s="23" t="s">
        <v>984</v>
      </c>
    </row>
    <row r="981" spans="1:8" x14ac:dyDescent="0.3">
      <c r="A981" s="25">
        <v>980</v>
      </c>
      <c r="B981" s="26">
        <v>275</v>
      </c>
      <c r="C981" s="26">
        <v>116</v>
      </c>
      <c r="D981" s="26">
        <v>116</v>
      </c>
      <c r="E981" s="26">
        <v>302</v>
      </c>
      <c r="F981" s="28" t="str">
        <f>PROPER(nutrition!$H981)</f>
        <v>Pepaya Lodeh</v>
      </c>
      <c r="G981" s="26" t="str">
        <f>IF(nutrition!$B981&gt;300,"Tinggi Kalori",IF(nutrition!$B981&gt;100,"Kalori Sedang","Rendah Kalori"))</f>
        <v>Kalori Sedang</v>
      </c>
      <c r="H981" s="27" t="s">
        <v>985</v>
      </c>
    </row>
    <row r="982" spans="1:8" x14ac:dyDescent="0.3">
      <c r="A982" s="21">
        <v>981</v>
      </c>
      <c r="B982" s="22">
        <v>26</v>
      </c>
      <c r="C982" s="22">
        <v>21</v>
      </c>
      <c r="D982" s="22">
        <v>1</v>
      </c>
      <c r="E982" s="22">
        <v>49</v>
      </c>
      <c r="F982" s="24" t="str">
        <f>PROPER(nutrition!$H982)</f>
        <v>Pepaya Muda</v>
      </c>
      <c r="G982" s="22" t="str">
        <f>IF(nutrition!$B982&gt;300,"Tinggi Kalori",IF(nutrition!$B982&gt;100,"Kalori Sedang","Rendah Kalori"))</f>
        <v>Rendah Kalori</v>
      </c>
      <c r="H982" s="23" t="s">
        <v>986</v>
      </c>
    </row>
    <row r="983" spans="1:8" x14ac:dyDescent="0.3">
      <c r="A983" s="25">
        <v>982</v>
      </c>
      <c r="B983" s="26">
        <v>46</v>
      </c>
      <c r="C983" s="26">
        <v>5</v>
      </c>
      <c r="D983" s="26">
        <v>12</v>
      </c>
      <c r="E983" s="26">
        <v>122</v>
      </c>
      <c r="F983" s="28" t="str">
        <f>PROPER(nutrition!$H983)</f>
        <v>Pepaya Segar</v>
      </c>
      <c r="G983" s="26" t="str">
        <f>IF(nutrition!$B983&gt;300,"Tinggi Kalori",IF(nutrition!$B983&gt;100,"Kalori Sedang","Rendah Kalori"))</f>
        <v>Rendah Kalori</v>
      </c>
      <c r="H983" s="27" t="s">
        <v>987</v>
      </c>
    </row>
    <row r="984" spans="1:8" x14ac:dyDescent="0.3">
      <c r="A984" s="21">
        <v>983</v>
      </c>
      <c r="B984" s="22">
        <v>76</v>
      </c>
      <c r="C984" s="22">
        <v>52</v>
      </c>
      <c r="D984" s="22">
        <v>18</v>
      </c>
      <c r="E984" s="22">
        <v>106</v>
      </c>
      <c r="F984" s="24" t="str">
        <f>PROPER(nutrition!$H984)</f>
        <v>Pepea Oncom Ampas Tahu</v>
      </c>
      <c r="G984" s="22" t="str">
        <f>IF(nutrition!$B984&gt;300,"Tinggi Kalori",IF(nutrition!$B984&gt;100,"Kalori Sedang","Rendah Kalori"))</f>
        <v>Rendah Kalori</v>
      </c>
      <c r="H984" s="23" t="s">
        <v>988</v>
      </c>
    </row>
    <row r="985" spans="1:8" x14ac:dyDescent="0.3">
      <c r="A985" s="25">
        <v>984</v>
      </c>
      <c r="B985" s="26">
        <v>400</v>
      </c>
      <c r="C985" s="26">
        <v>0</v>
      </c>
      <c r="D985" s="26">
        <v>0</v>
      </c>
      <c r="E985" s="26">
        <v>95</v>
      </c>
      <c r="F985" s="28" t="str">
        <f>PROPER(nutrition!$H985)</f>
        <v xml:space="preserve">Permen </v>
      </c>
      <c r="G985" s="26" t="str">
        <f>IF(nutrition!$B985&gt;300,"Tinggi Kalori",IF(nutrition!$B985&gt;100,"Kalori Sedang","Rendah Kalori"))</f>
        <v>Tinggi Kalori</v>
      </c>
      <c r="H985" s="27" t="s">
        <v>989</v>
      </c>
    </row>
    <row r="986" spans="1:8" x14ac:dyDescent="0.3">
      <c r="A986" s="21">
        <v>985</v>
      </c>
      <c r="B986" s="22">
        <v>142</v>
      </c>
      <c r="C986" s="22">
        <v>104</v>
      </c>
      <c r="D986" s="22">
        <v>2</v>
      </c>
      <c r="E986" s="22">
        <v>22</v>
      </c>
      <c r="F986" s="24" t="str">
        <f>PROPER(nutrition!$H986)</f>
        <v>Pete Segar</v>
      </c>
      <c r="G986" s="22" t="str">
        <f>IF(nutrition!$B986&gt;300,"Tinggi Kalori",IF(nutrition!$B986&gt;100,"Kalori Sedang","Rendah Kalori"))</f>
        <v>Kalori Sedang</v>
      </c>
      <c r="H986" s="23" t="s">
        <v>990</v>
      </c>
    </row>
    <row r="987" spans="1:8" x14ac:dyDescent="0.3">
      <c r="A987" s="25">
        <v>986</v>
      </c>
      <c r="B987" s="26">
        <v>50</v>
      </c>
      <c r="C987" s="26">
        <v>37</v>
      </c>
      <c r="D987" s="26">
        <v>1</v>
      </c>
      <c r="E987" s="26">
        <v>9</v>
      </c>
      <c r="F987" s="28" t="str">
        <f>PROPER(nutrition!$H987)</f>
        <v>Peterseli</v>
      </c>
      <c r="G987" s="26" t="str">
        <f>IF(nutrition!$B987&gt;300,"Tinggi Kalori",IF(nutrition!$B987&gt;100,"Kalori Sedang","Rendah Kalori"))</f>
        <v>Rendah Kalori</v>
      </c>
      <c r="H987" s="27" t="s">
        <v>991</v>
      </c>
    </row>
    <row r="988" spans="1:8" x14ac:dyDescent="0.3">
      <c r="A988" s="21">
        <v>987</v>
      </c>
      <c r="B988" s="22">
        <v>161</v>
      </c>
      <c r="C988" s="22">
        <v>20</v>
      </c>
      <c r="D988" s="22">
        <v>2</v>
      </c>
      <c r="E988" s="22">
        <v>24</v>
      </c>
      <c r="F988" s="24" t="str">
        <f>PROPER(nutrition!$H988)</f>
        <v>Petis Ikan</v>
      </c>
      <c r="G988" s="22" t="str">
        <f>IF(nutrition!$B988&gt;300,"Tinggi Kalori",IF(nutrition!$B988&gt;100,"Kalori Sedang","Rendah Kalori"))</f>
        <v>Kalori Sedang</v>
      </c>
      <c r="H988" s="23" t="s">
        <v>992</v>
      </c>
    </row>
    <row r="989" spans="1:8" x14ac:dyDescent="0.3">
      <c r="A989" s="25">
        <v>988</v>
      </c>
      <c r="B989" s="26">
        <v>220</v>
      </c>
      <c r="C989" s="26">
        <v>15</v>
      </c>
      <c r="D989" s="26">
        <v>1</v>
      </c>
      <c r="E989" s="26">
        <v>40</v>
      </c>
      <c r="F989" s="28" t="str">
        <f>PROPER(nutrition!$H989)</f>
        <v>Petis Udang</v>
      </c>
      <c r="G989" s="26" t="str">
        <f>IF(nutrition!$B989&gt;300,"Tinggi Kalori",IF(nutrition!$B989&gt;100,"Kalori Sedang","Rendah Kalori"))</f>
        <v>Kalori Sedang</v>
      </c>
      <c r="H989" s="27" t="s">
        <v>993</v>
      </c>
    </row>
    <row r="990" spans="1:8" x14ac:dyDescent="0.3">
      <c r="A990" s="21">
        <v>989</v>
      </c>
      <c r="B990" s="22">
        <v>345</v>
      </c>
      <c r="C990" s="22">
        <v>238</v>
      </c>
      <c r="D990" s="22">
        <v>14</v>
      </c>
      <c r="E990" s="22">
        <v>593</v>
      </c>
      <c r="F990" s="24" t="str">
        <f>PROPER(nutrition!$H990)</f>
        <v>Petis Udang Kering</v>
      </c>
      <c r="G990" s="22" t="str">
        <f>IF(nutrition!$B990&gt;300,"Tinggi Kalori",IF(nutrition!$B990&gt;100,"Kalori Sedang","Rendah Kalori"))</f>
        <v>Tinggi Kalori</v>
      </c>
      <c r="H990" s="23" t="s">
        <v>994</v>
      </c>
    </row>
    <row r="991" spans="1:8" x14ac:dyDescent="0.3">
      <c r="A991" s="25">
        <v>990</v>
      </c>
      <c r="B991" s="26">
        <v>220</v>
      </c>
      <c r="C991" s="26">
        <v>15</v>
      </c>
      <c r="D991" s="26">
        <v>9</v>
      </c>
      <c r="E991" s="26">
        <v>38</v>
      </c>
      <c r="F991" s="28" t="str">
        <f>PROPER(nutrition!$H991)</f>
        <v>Petis Udang Pasta</v>
      </c>
      <c r="G991" s="26" t="str">
        <f>IF(nutrition!$B991&gt;300,"Tinggi Kalori",IF(nutrition!$B991&gt;100,"Kalori Sedang","Rendah Kalori"))</f>
        <v>Kalori Sedang</v>
      </c>
      <c r="H991" s="27" t="s">
        <v>995</v>
      </c>
    </row>
    <row r="992" spans="1:8" x14ac:dyDescent="0.3">
      <c r="A992" s="21">
        <v>991</v>
      </c>
      <c r="B992" s="22">
        <v>514</v>
      </c>
      <c r="C992" s="22">
        <v>1</v>
      </c>
      <c r="D992" s="22">
        <v>278</v>
      </c>
      <c r="E992" s="22">
        <v>647</v>
      </c>
      <c r="F992" s="24" t="str">
        <f>PROPER(nutrition!$H992)</f>
        <v xml:space="preserve">Pilus </v>
      </c>
      <c r="G992" s="22" t="str">
        <f>IF(nutrition!$B992&gt;300,"Tinggi Kalori",IF(nutrition!$B992&gt;100,"Kalori Sedang","Rendah Kalori"))</f>
        <v>Tinggi Kalori</v>
      </c>
      <c r="H992" s="23" t="s">
        <v>996</v>
      </c>
    </row>
    <row r="993" spans="1:8" x14ac:dyDescent="0.3">
      <c r="A993" s="25">
        <v>992</v>
      </c>
      <c r="B993" s="26">
        <v>107</v>
      </c>
      <c r="C993" s="26">
        <v>159</v>
      </c>
      <c r="D993" s="26">
        <v>6</v>
      </c>
      <c r="E993" s="26">
        <v>4</v>
      </c>
      <c r="F993" s="28" t="str">
        <f>PROPER(nutrition!$H993)</f>
        <v>Pinda Masakan</v>
      </c>
      <c r="G993" s="26" t="str">
        <f>IF(nutrition!$B993&gt;300,"Tinggi Kalori",IF(nutrition!$B993&gt;100,"Kalori Sedang","Rendah Kalori"))</f>
        <v>Kalori Sedang</v>
      </c>
      <c r="H993" s="27" t="s">
        <v>997</v>
      </c>
    </row>
    <row r="994" spans="1:8" x14ac:dyDescent="0.3">
      <c r="A994" s="21">
        <v>993</v>
      </c>
      <c r="B994" s="22">
        <v>157</v>
      </c>
      <c r="C994" s="22">
        <v>28</v>
      </c>
      <c r="D994" s="22">
        <v>42</v>
      </c>
      <c r="E994" s="22">
        <v>0</v>
      </c>
      <c r="F994" s="24" t="str">
        <f>PROPER(nutrition!$H994)</f>
        <v>Pindang Ikan Banjar</v>
      </c>
      <c r="G994" s="22" t="str">
        <f>IF(nutrition!$B994&gt;300,"Tinggi Kalori",IF(nutrition!$B994&gt;100,"Kalori Sedang","Rendah Kalori"))</f>
        <v>Kalori Sedang</v>
      </c>
      <c r="H994" s="23" t="s">
        <v>998</v>
      </c>
    </row>
    <row r="995" spans="1:8" x14ac:dyDescent="0.3">
      <c r="A995" s="25">
        <v>994</v>
      </c>
      <c r="B995" s="26">
        <v>170</v>
      </c>
      <c r="C995" s="26">
        <v>31</v>
      </c>
      <c r="D995" s="26">
        <v>42</v>
      </c>
      <c r="E995" s="26">
        <v>0</v>
      </c>
      <c r="F995" s="28" t="str">
        <f>PROPER(nutrition!$H995)</f>
        <v>Pindang Ikan Benggol</v>
      </c>
      <c r="G995" s="26" t="str">
        <f>IF(nutrition!$B995&gt;300,"Tinggi Kalori",IF(nutrition!$B995&gt;100,"Kalori Sedang","Rendah Kalori"))</f>
        <v>Kalori Sedang</v>
      </c>
      <c r="H995" s="27" t="s">
        <v>999</v>
      </c>
    </row>
    <row r="996" spans="1:8" x14ac:dyDescent="0.3">
      <c r="A996" s="21">
        <v>995</v>
      </c>
      <c r="B996" s="22">
        <v>153</v>
      </c>
      <c r="C996" s="22">
        <v>30</v>
      </c>
      <c r="D996" s="22">
        <v>28</v>
      </c>
      <c r="E996" s="22">
        <v>0</v>
      </c>
      <c r="F996" s="24" t="str">
        <f>PROPER(nutrition!$H996)</f>
        <v>Pindang Ikan Layang</v>
      </c>
      <c r="G996" s="22" t="str">
        <f>IF(nutrition!$B996&gt;300,"Tinggi Kalori",IF(nutrition!$B996&gt;100,"Kalori Sedang","Rendah Kalori"))</f>
        <v>Kalori Sedang</v>
      </c>
      <c r="H996" s="23" t="s">
        <v>1000</v>
      </c>
    </row>
    <row r="997" spans="1:8" x14ac:dyDescent="0.3">
      <c r="A997" s="25">
        <v>996</v>
      </c>
      <c r="B997" s="26">
        <v>142</v>
      </c>
      <c r="C997" s="26">
        <v>27</v>
      </c>
      <c r="D997" s="26">
        <v>3</v>
      </c>
      <c r="E997" s="26">
        <v>0</v>
      </c>
      <c r="F997" s="28" t="str">
        <f>PROPER(nutrition!$H997)</f>
        <v>Pindang Ikan Selar Kecil</v>
      </c>
      <c r="G997" s="26" t="str">
        <f>IF(nutrition!$B997&gt;300,"Tinggi Kalori",IF(nutrition!$B997&gt;100,"Kalori Sedang","Rendah Kalori"))</f>
        <v>Kalori Sedang</v>
      </c>
      <c r="H997" s="27" t="s">
        <v>1001</v>
      </c>
    </row>
    <row r="998" spans="1:8" x14ac:dyDescent="0.3">
      <c r="A998" s="21">
        <v>997</v>
      </c>
      <c r="B998" s="22">
        <v>124</v>
      </c>
      <c r="C998" s="22">
        <v>95</v>
      </c>
      <c r="D998" s="22">
        <v>96</v>
      </c>
      <c r="E998" s="22">
        <v>0</v>
      </c>
      <c r="F998" s="24" t="str">
        <f>PROPER(nutrition!$H998)</f>
        <v>Pindang Kenari Masakan</v>
      </c>
      <c r="G998" s="22" t="str">
        <f>IF(nutrition!$B998&gt;300,"Tinggi Kalori",IF(nutrition!$B998&gt;100,"Kalori Sedang","Rendah Kalori"))</f>
        <v>Kalori Sedang</v>
      </c>
      <c r="H998" s="23" t="s">
        <v>1002</v>
      </c>
    </row>
    <row r="999" spans="1:8" x14ac:dyDescent="0.3">
      <c r="A999" s="25">
        <v>998</v>
      </c>
      <c r="B999" s="26">
        <v>99</v>
      </c>
      <c r="C999" s="26">
        <v>12</v>
      </c>
      <c r="D999" s="26">
        <v>2</v>
      </c>
      <c r="E999" s="26">
        <v>258</v>
      </c>
      <c r="F999" s="28" t="str">
        <f>PROPER(nutrition!$H999)</f>
        <v>Pisang Ambon</v>
      </c>
      <c r="G999" s="26" t="str">
        <f>IF(nutrition!$B999&gt;300,"Tinggi Kalori",IF(nutrition!$B999&gt;100,"Kalori Sedang","Rendah Kalori"))</f>
        <v>Rendah Kalori</v>
      </c>
      <c r="H999" s="27" t="s">
        <v>1003</v>
      </c>
    </row>
    <row r="1000" spans="1:8" x14ac:dyDescent="0.3">
      <c r="A1000" s="21">
        <v>999</v>
      </c>
      <c r="B1000" s="22">
        <v>68</v>
      </c>
      <c r="C1000" s="22">
        <v>13</v>
      </c>
      <c r="D1000" s="22">
        <v>2</v>
      </c>
      <c r="E1000" s="22">
        <v>172</v>
      </c>
      <c r="F1000" s="24" t="str">
        <f>PROPER(nutrition!$H1000)</f>
        <v>Pisang Angleng (Pisang Ampyang) Segar</v>
      </c>
      <c r="G1000" s="22" t="str">
        <f>IF(nutrition!$B1000&gt;300,"Tinggi Kalori",IF(nutrition!$B1000&gt;100,"Kalori Sedang","Rendah Kalori"))</f>
        <v>Rendah Kalori</v>
      </c>
      <c r="H1000" s="23" t="s">
        <v>1004</v>
      </c>
    </row>
    <row r="1001" spans="1:8" x14ac:dyDescent="0.3">
      <c r="A1001" s="25">
        <v>1000</v>
      </c>
      <c r="B1001" s="26">
        <v>120</v>
      </c>
      <c r="C1001" s="26">
        <v>11</v>
      </c>
      <c r="D1001" s="26">
        <v>2</v>
      </c>
      <c r="E1001" s="26">
        <v>268</v>
      </c>
      <c r="F1001" s="28" t="str">
        <f>PROPER(nutrition!$H1001)</f>
        <v>Pisang Ayam Segar</v>
      </c>
      <c r="G1001" s="26" t="str">
        <f>IF(nutrition!$B1001&gt;300,"Tinggi Kalori",IF(nutrition!$B1001&gt;100,"Kalori Sedang","Rendah Kalori"))</f>
        <v>Kalori Sedang</v>
      </c>
      <c r="H1001" s="27" t="s">
        <v>1005</v>
      </c>
    </row>
    <row r="1002" spans="1:8" x14ac:dyDescent="0.3">
      <c r="A1002" s="21">
        <v>1001</v>
      </c>
      <c r="B1002" s="22">
        <v>127</v>
      </c>
      <c r="C1002" s="22">
        <v>21</v>
      </c>
      <c r="D1002" s="22">
        <v>3</v>
      </c>
      <c r="E1002" s="22">
        <v>311</v>
      </c>
      <c r="F1002" s="24" t="str">
        <f>PROPER(nutrition!$H1002)</f>
        <v xml:space="preserve">Pisang Gapi Segar </v>
      </c>
      <c r="G1002" s="22" t="str">
        <f>IF(nutrition!$B1002&gt;300,"Tinggi Kalori",IF(nutrition!$B1002&gt;100,"Kalori Sedang","Rendah Kalori"))</f>
        <v>Kalori Sedang</v>
      </c>
      <c r="H1002" s="23" t="s">
        <v>1006</v>
      </c>
    </row>
    <row r="1003" spans="1:8" x14ac:dyDescent="0.3">
      <c r="A1003" s="25">
        <v>1002</v>
      </c>
      <c r="B1003" s="26">
        <v>220</v>
      </c>
      <c r="C1003" s="26">
        <v>23</v>
      </c>
      <c r="D1003" s="26">
        <v>23</v>
      </c>
      <c r="E1003" s="26">
        <v>63</v>
      </c>
      <c r="F1003" s="28" t="str">
        <f>PROPER(nutrition!$H1003)</f>
        <v xml:space="preserve">Pisang Goreng </v>
      </c>
      <c r="G1003" s="26" t="str">
        <f>IF(nutrition!$B1003&gt;300,"Tinggi Kalori",IF(nutrition!$B1003&gt;100,"Kalori Sedang","Rendah Kalori"))</f>
        <v>Kalori Sedang</v>
      </c>
      <c r="H1003" s="27" t="s">
        <v>1007</v>
      </c>
    </row>
    <row r="1004" spans="1:8" x14ac:dyDescent="0.3">
      <c r="A1004" s="21">
        <v>1003</v>
      </c>
      <c r="B1004" s="22">
        <v>115</v>
      </c>
      <c r="C1004" s="22">
        <v>19</v>
      </c>
      <c r="D1004" s="22">
        <v>2</v>
      </c>
      <c r="E1004" s="22">
        <v>279</v>
      </c>
      <c r="F1004" s="24" t="str">
        <f>PROPER(nutrition!$H1004)</f>
        <v>Pisang Goroho Segar</v>
      </c>
      <c r="G1004" s="22" t="str">
        <f>IF(nutrition!$B1004&gt;300,"Tinggi Kalori",IF(nutrition!$B1004&gt;100,"Kalori Sedang","Rendah Kalori"))</f>
        <v>Kalori Sedang</v>
      </c>
      <c r="H1004" s="23" t="s">
        <v>1008</v>
      </c>
    </row>
    <row r="1005" spans="1:8" x14ac:dyDescent="0.3">
      <c r="A1005" s="25">
        <v>1004</v>
      </c>
      <c r="B1005" s="26">
        <v>117</v>
      </c>
      <c r="C1005" s="26">
        <v>2</v>
      </c>
      <c r="D1005" s="26">
        <v>3</v>
      </c>
      <c r="E1005" s="26">
        <v>289</v>
      </c>
      <c r="F1005" s="28" t="str">
        <f>PROPER(nutrition!$H1005)</f>
        <v>Pisang Hijau Segar</v>
      </c>
      <c r="G1005" s="26" t="str">
        <f>IF(nutrition!$B1005&gt;300,"Tinggi Kalori",IF(nutrition!$B1005&gt;100,"Kalori Sedang","Rendah Kalori"))</f>
        <v>Kalori Sedang</v>
      </c>
      <c r="H1005" s="27" t="s">
        <v>1009</v>
      </c>
    </row>
    <row r="1006" spans="1:8" x14ac:dyDescent="0.3">
      <c r="A1006" s="21">
        <v>1005</v>
      </c>
      <c r="B1006" s="22">
        <v>100</v>
      </c>
      <c r="C1006" s="22">
        <v>14</v>
      </c>
      <c r="D1006" s="22">
        <v>5</v>
      </c>
      <c r="E1006" s="22">
        <v>236</v>
      </c>
      <c r="F1006" s="24" t="str">
        <f>PROPER(nutrition!$H1006)</f>
        <v>Pisang Kayu Segar</v>
      </c>
      <c r="G1006" s="22" t="str">
        <f>IF(nutrition!$B1006&gt;300,"Tinggi Kalori",IF(nutrition!$B1006&gt;100,"Kalori Sedang","Rendah Kalori"))</f>
        <v>Rendah Kalori</v>
      </c>
      <c r="H1006" s="23" t="s">
        <v>1010</v>
      </c>
    </row>
    <row r="1007" spans="1:8" x14ac:dyDescent="0.3">
      <c r="A1007" s="25">
        <v>1006</v>
      </c>
      <c r="B1007" s="26">
        <v>109</v>
      </c>
      <c r="C1007" s="26">
        <v>8</v>
      </c>
      <c r="D1007" s="26">
        <v>5</v>
      </c>
      <c r="E1007" s="26">
        <v>263</v>
      </c>
      <c r="F1007" s="28" t="str">
        <f>PROPER(nutrition!$H1007)</f>
        <v>Pisang Kepok Segar</v>
      </c>
      <c r="G1007" s="26" t="str">
        <f>IF(nutrition!$B1007&gt;300,"Tinggi Kalori",IF(nutrition!$B1007&gt;100,"Kalori Sedang","Rendah Kalori"))</f>
        <v>Kalori Sedang</v>
      </c>
      <c r="H1007" s="27" t="s">
        <v>1011</v>
      </c>
    </row>
    <row r="1008" spans="1:8" x14ac:dyDescent="0.3">
      <c r="A1008" s="21">
        <v>1007</v>
      </c>
      <c r="B1008" s="22">
        <v>145</v>
      </c>
      <c r="C1008" s="22">
        <v>11</v>
      </c>
      <c r="D1008" s="22">
        <v>3</v>
      </c>
      <c r="E1008" s="22">
        <v>345</v>
      </c>
      <c r="F1008" s="24" t="str">
        <f>PROPER(nutrition!$H1008)</f>
        <v>Pisang Ketip Segar</v>
      </c>
      <c r="G1008" s="22" t="str">
        <f>IF(nutrition!$B1008&gt;300,"Tinggi Kalori",IF(nutrition!$B1008&gt;100,"Kalori Sedang","Rendah Kalori"))</f>
        <v>Kalori Sedang</v>
      </c>
      <c r="H1008" s="23" t="s">
        <v>1012</v>
      </c>
    </row>
    <row r="1009" spans="1:8" x14ac:dyDescent="0.3">
      <c r="A1009" s="25">
        <v>1008</v>
      </c>
      <c r="B1009" s="26">
        <v>96</v>
      </c>
      <c r="C1009" s="26">
        <v>1</v>
      </c>
      <c r="D1009" s="26">
        <v>2</v>
      </c>
      <c r="E1009" s="26">
        <v>225</v>
      </c>
      <c r="F1009" s="28" t="str">
        <f>PROPER(nutrition!$H1009)</f>
        <v>Pisang Kidang Segar</v>
      </c>
      <c r="G1009" s="26" t="str">
        <f>IF(nutrition!$B1009&gt;300,"Tinggi Kalori",IF(nutrition!$B1009&gt;100,"Kalori Sedang","Rendah Kalori"))</f>
        <v>Rendah Kalori</v>
      </c>
      <c r="H1009" s="27" t="s">
        <v>1013</v>
      </c>
    </row>
    <row r="1010" spans="1:8" x14ac:dyDescent="0.3">
      <c r="A1010" s="21">
        <v>1009</v>
      </c>
      <c r="B1010" s="22">
        <v>99</v>
      </c>
      <c r="C1010" s="22">
        <v>13</v>
      </c>
      <c r="D1010" s="22">
        <v>2</v>
      </c>
      <c r="E1010" s="22">
        <v>256</v>
      </c>
      <c r="F1010" s="24" t="str">
        <f>PROPER(nutrition!$H1010)</f>
        <v>Pisang Lampung</v>
      </c>
      <c r="G1010" s="22" t="str">
        <f>IF(nutrition!$B1010&gt;300,"Tinggi Kalori",IF(nutrition!$B1010&gt;100,"Kalori Sedang","Rendah Kalori"))</f>
        <v>Rendah Kalori</v>
      </c>
      <c r="H1010" s="23" t="s">
        <v>1014</v>
      </c>
    </row>
    <row r="1011" spans="1:8" x14ac:dyDescent="0.3">
      <c r="A1011" s="25">
        <v>1010</v>
      </c>
      <c r="B1011" s="26">
        <v>127</v>
      </c>
      <c r="C1011" s="26">
        <v>14</v>
      </c>
      <c r="D1011" s="26">
        <v>2</v>
      </c>
      <c r="E1011" s="26">
        <v>336</v>
      </c>
      <c r="F1011" s="28" t="str">
        <f>PROPER(nutrition!$H1011)</f>
        <v>Pisang Mas</v>
      </c>
      <c r="G1011" s="26" t="str">
        <f>IF(nutrition!$B1011&gt;300,"Tinggi Kalori",IF(nutrition!$B1011&gt;100,"Kalori Sedang","Rendah Kalori"))</f>
        <v>Kalori Sedang</v>
      </c>
      <c r="H1011" s="27" t="s">
        <v>1015</v>
      </c>
    </row>
    <row r="1012" spans="1:8" x14ac:dyDescent="0.3">
      <c r="A1012" s="21">
        <v>1011</v>
      </c>
      <c r="B1012" s="22">
        <v>127</v>
      </c>
      <c r="C1012" s="22">
        <v>14</v>
      </c>
      <c r="D1012" s="22">
        <v>2</v>
      </c>
      <c r="E1012" s="22">
        <v>318</v>
      </c>
      <c r="F1012" s="24" t="str">
        <f>PROPER(nutrition!$H1012)</f>
        <v>Pisang Mas Bali</v>
      </c>
      <c r="G1012" s="22" t="str">
        <f>IF(nutrition!$B1012&gt;300,"Tinggi Kalori",IF(nutrition!$B1012&gt;100,"Kalori Sedang","Rendah Kalori"))</f>
        <v>Kalori Sedang</v>
      </c>
      <c r="H1012" s="23" t="s">
        <v>1016</v>
      </c>
    </row>
    <row r="1013" spans="1:8" x14ac:dyDescent="0.3">
      <c r="A1013" s="25">
        <v>1012</v>
      </c>
      <c r="B1013" s="26">
        <v>134</v>
      </c>
      <c r="C1013" s="26">
        <v>11</v>
      </c>
      <c r="D1013" s="26">
        <v>5</v>
      </c>
      <c r="E1013" s="26">
        <v>355</v>
      </c>
      <c r="F1013" s="28" t="str">
        <f>PROPER(nutrition!$H1013)</f>
        <v>Pisang Oli</v>
      </c>
      <c r="G1013" s="26" t="str">
        <f>IF(nutrition!$B1013&gt;300,"Tinggi Kalori",IF(nutrition!$B1013&gt;100,"Kalori Sedang","Rendah Kalori"))</f>
        <v>Kalori Sedang</v>
      </c>
      <c r="H1013" s="27" t="s">
        <v>1017</v>
      </c>
    </row>
    <row r="1014" spans="1:8" x14ac:dyDescent="0.3">
      <c r="A1014" s="21">
        <v>1013</v>
      </c>
      <c r="B1014" s="22">
        <v>120</v>
      </c>
      <c r="C1014" s="22">
        <v>12</v>
      </c>
      <c r="D1014" s="22">
        <v>2</v>
      </c>
      <c r="E1014" s="22">
        <v>318</v>
      </c>
      <c r="F1014" s="24" t="str">
        <f>PROPER(nutrition!$H1014)</f>
        <v>Pisang Raja</v>
      </c>
      <c r="G1014" s="22" t="str">
        <f>IF(nutrition!$B1014&gt;300,"Tinggi Kalori",IF(nutrition!$B1014&gt;100,"Kalori Sedang","Rendah Kalori"))</f>
        <v>Kalori Sedang</v>
      </c>
      <c r="H1014" s="23" t="s">
        <v>1018</v>
      </c>
    </row>
    <row r="1015" spans="1:8" x14ac:dyDescent="0.3">
      <c r="A1015" s="25">
        <v>1014</v>
      </c>
      <c r="B1015" s="26">
        <v>118</v>
      </c>
      <c r="C1015" s="26">
        <v>12</v>
      </c>
      <c r="D1015" s="26">
        <v>2</v>
      </c>
      <c r="E1015" s="26">
        <v>311</v>
      </c>
      <c r="F1015" s="28" t="str">
        <f>PROPER(nutrition!$H1015)</f>
        <v>Pisang Raja Sere (Susu)</v>
      </c>
      <c r="G1015" s="26" t="str">
        <f>IF(nutrition!$B1015&gt;300,"Tinggi Kalori",IF(nutrition!$B1015&gt;100,"Kalori Sedang","Rendah Kalori"))</f>
        <v>Kalori Sedang</v>
      </c>
      <c r="H1015" s="27" t="s">
        <v>1019</v>
      </c>
    </row>
    <row r="1016" spans="1:8" x14ac:dyDescent="0.3">
      <c r="A1016" s="21">
        <v>1015</v>
      </c>
      <c r="B1016" s="22">
        <v>98</v>
      </c>
      <c r="C1016" s="22">
        <v>13</v>
      </c>
      <c r="D1016" s="22">
        <v>12</v>
      </c>
      <c r="E1016" s="22">
        <v>205</v>
      </c>
      <c r="F1016" s="24" t="str">
        <f>PROPER(nutrition!$H1016)</f>
        <v>Pisang Rotan Segar</v>
      </c>
      <c r="G1016" s="22" t="str">
        <f>IF(nutrition!$B1016&gt;300,"Tinggi Kalori",IF(nutrition!$B1016&gt;100,"Kalori Sedang","Rendah Kalori"))</f>
        <v>Rendah Kalori</v>
      </c>
      <c r="H1016" s="23" t="s">
        <v>1020</v>
      </c>
    </row>
    <row r="1017" spans="1:8" x14ac:dyDescent="0.3">
      <c r="A1017" s="25">
        <v>1016</v>
      </c>
      <c r="B1017" s="26">
        <v>625</v>
      </c>
      <c r="C1017" s="26">
        <v>1</v>
      </c>
      <c r="D1017" s="26">
        <v>0</v>
      </c>
      <c r="E1017" s="26">
        <v>81</v>
      </c>
      <c r="F1017" s="28" t="str">
        <f>PROPER(nutrition!$H1017)</f>
        <v>Pisang Siam Goreng</v>
      </c>
      <c r="G1017" s="26" t="str">
        <f>IF(nutrition!$B1017&gt;300,"Tinggi Kalori",IF(nutrition!$B1017&gt;100,"Kalori Sedang","Rendah Kalori"))</f>
        <v>Tinggi Kalori</v>
      </c>
      <c r="H1017" s="27" t="s">
        <v>1021</v>
      </c>
    </row>
    <row r="1018" spans="1:8" x14ac:dyDescent="0.3">
      <c r="A1018" s="21">
        <v>1017</v>
      </c>
      <c r="B1018" s="22">
        <v>113</v>
      </c>
      <c r="C1018" s="22">
        <v>12</v>
      </c>
      <c r="D1018" s="22">
        <v>2</v>
      </c>
      <c r="E1018" s="22">
        <v>267</v>
      </c>
      <c r="F1018" s="24" t="str">
        <f>PROPER(nutrition!$H1018)</f>
        <v>Pisang Talas Segar</v>
      </c>
      <c r="G1018" s="22" t="str">
        <f>IF(nutrition!$B1018&gt;300,"Tinggi Kalori",IF(nutrition!$B1018&gt;100,"Kalori Sedang","Rendah Kalori"))</f>
        <v>Kalori Sedang</v>
      </c>
      <c r="H1018" s="23" t="s">
        <v>1022</v>
      </c>
    </row>
    <row r="1019" spans="1:8" x14ac:dyDescent="0.3">
      <c r="A1019" s="25">
        <v>1018</v>
      </c>
      <c r="B1019" s="26">
        <v>45</v>
      </c>
      <c r="C1019" s="26">
        <v>22</v>
      </c>
      <c r="D1019" s="26">
        <v>3</v>
      </c>
      <c r="E1019" s="26">
        <v>103</v>
      </c>
      <c r="F1019" s="28" t="str">
        <f>PROPER(nutrition!$H1019)</f>
        <v>Prey (Bawang Daun)</v>
      </c>
      <c r="G1019" s="26" t="str">
        <f>IF(nutrition!$B1019&gt;300,"Tinggi Kalori",IF(nutrition!$B1019&gt;100,"Kalori Sedang","Rendah Kalori"))</f>
        <v>Rendah Kalori</v>
      </c>
      <c r="H1019" s="27" t="s">
        <v>1023</v>
      </c>
    </row>
    <row r="1020" spans="1:8" x14ac:dyDescent="0.3">
      <c r="A1020" s="21">
        <v>1019</v>
      </c>
      <c r="B1020" s="22">
        <v>33</v>
      </c>
      <c r="C1020" s="22">
        <v>45</v>
      </c>
      <c r="D1020" s="22">
        <v>4</v>
      </c>
      <c r="E1020" s="22">
        <v>28</v>
      </c>
      <c r="F1020" s="24" t="str">
        <f>PROPER(nutrition!$H1020)</f>
        <v>Pucuk Lumai/Daun Leunca Segar</v>
      </c>
      <c r="G1020" s="22" t="str">
        <f>IF(nutrition!$B1020&gt;300,"Tinggi Kalori",IF(nutrition!$B1020&gt;100,"Kalori Sedang","Rendah Kalori"))</f>
        <v>Rendah Kalori</v>
      </c>
      <c r="H1020" s="23" t="s">
        <v>1024</v>
      </c>
    </row>
    <row r="1021" spans="1:8" x14ac:dyDescent="0.3">
      <c r="A1021" s="25">
        <v>1020</v>
      </c>
      <c r="B1021" s="26">
        <v>216</v>
      </c>
      <c r="C1021" s="26">
        <v>26</v>
      </c>
      <c r="D1021" s="26">
        <v>31</v>
      </c>
      <c r="E1021" s="26">
        <v>444</v>
      </c>
      <c r="F1021" s="28" t="str">
        <f>PROPER(nutrition!$H1021)</f>
        <v>Pulut</v>
      </c>
      <c r="G1021" s="26" t="str">
        <f>IF(nutrition!$B1021&gt;300,"Tinggi Kalori",IF(nutrition!$B1021&gt;100,"Kalori Sedang","Rendah Kalori"))</f>
        <v>Kalori Sedang</v>
      </c>
      <c r="H1021" s="27" t="s">
        <v>1025</v>
      </c>
    </row>
    <row r="1022" spans="1:8" x14ac:dyDescent="0.3">
      <c r="A1022" s="21">
        <v>1021</v>
      </c>
      <c r="B1022" s="22">
        <v>224</v>
      </c>
      <c r="C1022" s="22">
        <v>262</v>
      </c>
      <c r="D1022" s="22">
        <v>113</v>
      </c>
      <c r="E1022" s="22">
        <v>44</v>
      </c>
      <c r="F1022" s="24" t="str">
        <f>PROPER(nutrition!$H1022)</f>
        <v>Punai Daging Goreng</v>
      </c>
      <c r="G1022" s="22" t="str">
        <f>IF(nutrition!$B1022&gt;300,"Tinggi Kalori",IF(nutrition!$B1022&gt;100,"Kalori Sedang","Rendah Kalori"))</f>
        <v>Kalori Sedang</v>
      </c>
      <c r="H1022" s="23" t="s">
        <v>1026</v>
      </c>
    </row>
    <row r="1023" spans="1:8" x14ac:dyDescent="0.3">
      <c r="A1023" s="25">
        <v>1022</v>
      </c>
      <c r="B1023" s="26">
        <v>104</v>
      </c>
      <c r="C1023" s="26">
        <v>19</v>
      </c>
      <c r="D1023" s="26">
        <v>41</v>
      </c>
      <c r="E1023" s="26">
        <v>151</v>
      </c>
      <c r="F1023" s="28" t="str">
        <f>PROPER(nutrition!$H1023)</f>
        <v>Pundut Nasi</v>
      </c>
      <c r="G1023" s="26" t="str">
        <f>IF(nutrition!$B1023&gt;300,"Tinggi Kalori",IF(nutrition!$B1023&gt;100,"Kalori Sedang","Rendah Kalori"))</f>
        <v>Kalori Sedang</v>
      </c>
      <c r="H1023" s="27" t="s">
        <v>1027</v>
      </c>
    </row>
    <row r="1024" spans="1:8" x14ac:dyDescent="0.3">
      <c r="A1024" s="21">
        <v>1023</v>
      </c>
      <c r="B1024" s="22">
        <v>25</v>
      </c>
      <c r="C1024" s="22">
        <v>15</v>
      </c>
      <c r="D1024" s="22">
        <v>5</v>
      </c>
      <c r="E1024" s="22">
        <v>36</v>
      </c>
      <c r="F1024" s="24" t="str">
        <f>PROPER(nutrition!$H1024)</f>
        <v>Purundawa</v>
      </c>
      <c r="G1024" s="22" t="str">
        <f>IF(nutrition!$B1024&gt;300,"Tinggi Kalori",IF(nutrition!$B1024&gt;100,"Kalori Sedang","Rendah Kalori"))</f>
        <v>Rendah Kalori</v>
      </c>
      <c r="H1024" s="23" t="s">
        <v>1028</v>
      </c>
    </row>
    <row r="1025" spans="1:8" x14ac:dyDescent="0.3">
      <c r="A1025" s="25">
        <v>1024</v>
      </c>
      <c r="B1025" s="26">
        <v>76</v>
      </c>
      <c r="C1025" s="26">
        <v>41</v>
      </c>
      <c r="D1025" s="26">
        <v>11</v>
      </c>
      <c r="E1025" s="26">
        <v>152</v>
      </c>
      <c r="F1025" s="28" t="str">
        <f>PROPER(nutrition!$H1025)</f>
        <v>Purut Segar</v>
      </c>
      <c r="G1025" s="26" t="str">
        <f>IF(nutrition!$B1025&gt;300,"Tinggi Kalori",IF(nutrition!$B1025&gt;100,"Kalori Sedang","Rendah Kalori"))</f>
        <v>Rendah Kalori</v>
      </c>
      <c r="H1025" s="27" t="s">
        <v>1029</v>
      </c>
    </row>
    <row r="1026" spans="1:8" x14ac:dyDescent="0.3">
      <c r="A1026" s="21">
        <v>1025</v>
      </c>
      <c r="B1026" s="22">
        <v>76</v>
      </c>
      <c r="C1026" s="22">
        <v>36</v>
      </c>
      <c r="D1026" s="22">
        <v>3</v>
      </c>
      <c r="E1026" s="22">
        <v>146</v>
      </c>
      <c r="F1026" s="24" t="str">
        <f>PROPER(nutrition!$H1026)</f>
        <v>Putri Malu Segar</v>
      </c>
      <c r="G1026" s="22" t="str">
        <f>IF(nutrition!$B1026&gt;300,"Tinggi Kalori",IF(nutrition!$B1026&gt;100,"Kalori Sedang","Rendah Kalori"))</f>
        <v>Rendah Kalori</v>
      </c>
      <c r="H1026" s="23" t="s">
        <v>1030</v>
      </c>
    </row>
    <row r="1027" spans="1:8" x14ac:dyDescent="0.3">
      <c r="A1027" s="25">
        <v>1026</v>
      </c>
      <c r="B1027" s="26">
        <v>163</v>
      </c>
      <c r="C1027" s="26">
        <v>22</v>
      </c>
      <c r="D1027" s="26">
        <v>65</v>
      </c>
      <c r="E1027" s="26">
        <v>238</v>
      </c>
      <c r="F1027" s="28" t="str">
        <f>PROPER(nutrition!$H1027)</f>
        <v>Putri Selat</v>
      </c>
      <c r="G1027" s="26" t="str">
        <f>IF(nutrition!$B1027&gt;300,"Tinggi Kalori",IF(nutrition!$B1027&gt;100,"Kalori Sedang","Rendah Kalori"))</f>
        <v>Kalori Sedang</v>
      </c>
      <c r="H1027" s="27" t="s">
        <v>1031</v>
      </c>
    </row>
    <row r="1028" spans="1:8" x14ac:dyDescent="0.3">
      <c r="A1028" s="21">
        <v>1027</v>
      </c>
      <c r="B1028" s="22">
        <v>200</v>
      </c>
      <c r="C1028" s="22">
        <v>1</v>
      </c>
      <c r="D1028" s="22">
        <v>24</v>
      </c>
      <c r="E1028" s="22">
        <v>438</v>
      </c>
      <c r="F1028" s="24" t="str">
        <f>PROPER(nutrition!$H1028)</f>
        <v xml:space="preserve">Putu Mayang </v>
      </c>
      <c r="G1028" s="22" t="str">
        <f>IF(nutrition!$B1028&gt;300,"Tinggi Kalori",IF(nutrition!$B1028&gt;100,"Kalori Sedang","Rendah Kalori"))</f>
        <v>Kalori Sedang</v>
      </c>
      <c r="H1028" s="23" t="s">
        <v>1032</v>
      </c>
    </row>
    <row r="1029" spans="1:8" x14ac:dyDescent="0.3">
      <c r="A1029" s="25">
        <v>1028</v>
      </c>
      <c r="B1029" s="26">
        <v>136</v>
      </c>
      <c r="C1029" s="26">
        <v>43</v>
      </c>
      <c r="D1029" s="26">
        <v>24</v>
      </c>
      <c r="E1029" s="26">
        <v>3</v>
      </c>
      <c r="F1029" s="28" t="str">
        <f>PROPER(nutrition!$H1029)</f>
        <v>Ragi</v>
      </c>
      <c r="G1029" s="26" t="str">
        <f>IF(nutrition!$B1029&gt;300,"Tinggi Kalori",IF(nutrition!$B1029&gt;100,"Kalori Sedang","Rendah Kalori"))</f>
        <v>Kalori Sedang</v>
      </c>
      <c r="H1029" s="27" t="s">
        <v>1033</v>
      </c>
    </row>
    <row r="1030" spans="1:8" x14ac:dyDescent="0.3">
      <c r="A1030" s="21">
        <v>1029</v>
      </c>
      <c r="B1030" s="22">
        <v>76</v>
      </c>
      <c r="C1030" s="22">
        <v>121</v>
      </c>
      <c r="D1030" s="22">
        <v>2</v>
      </c>
      <c r="E1030" s="22">
        <v>24</v>
      </c>
      <c r="F1030" s="24" t="str">
        <f>PROPER(nutrition!$H1030)</f>
        <v>Rajungan Segar</v>
      </c>
      <c r="G1030" s="22" t="str">
        <f>IF(nutrition!$B1030&gt;300,"Tinggi Kalori",IF(nutrition!$B1030&gt;100,"Kalori Sedang","Rendah Kalori"))</f>
        <v>Rendah Kalori</v>
      </c>
      <c r="H1030" s="23" t="s">
        <v>1034</v>
      </c>
    </row>
    <row r="1031" spans="1:8" x14ac:dyDescent="0.3">
      <c r="A1031" s="25">
        <v>1030</v>
      </c>
      <c r="B1031" s="26">
        <v>69</v>
      </c>
      <c r="C1031" s="26">
        <v>9</v>
      </c>
      <c r="D1031" s="26">
        <v>1</v>
      </c>
      <c r="E1031" s="26">
        <v>181</v>
      </c>
      <c r="F1031" s="28" t="str">
        <f>PROPER(nutrition!$H1031)</f>
        <v>Rambutan</v>
      </c>
      <c r="G1031" s="26" t="str">
        <f>IF(nutrition!$B1031&gt;300,"Tinggi Kalori",IF(nutrition!$B1031&gt;100,"Kalori Sedang","Rendah Kalori"))</f>
        <v>Rendah Kalori</v>
      </c>
      <c r="H1031" s="27" t="s">
        <v>1035</v>
      </c>
    </row>
    <row r="1032" spans="1:8" x14ac:dyDescent="0.3">
      <c r="A1032" s="21">
        <v>1031</v>
      </c>
      <c r="B1032" s="22">
        <v>11</v>
      </c>
      <c r="C1032" s="22">
        <v>0</v>
      </c>
      <c r="D1032" s="22">
        <v>0</v>
      </c>
      <c r="E1032" s="22">
        <v>27</v>
      </c>
      <c r="F1032" s="24" t="str">
        <f>PROPER(nutrition!$H1032)</f>
        <v>Rambutan Aceh</v>
      </c>
      <c r="G1032" s="22" t="str">
        <f>IF(nutrition!$B1032&gt;300,"Tinggi Kalori",IF(nutrition!$B1032&gt;100,"Kalori Sedang","Rendah Kalori"))</f>
        <v>Rendah Kalori</v>
      </c>
      <c r="H1032" s="23" t="s">
        <v>1036</v>
      </c>
    </row>
    <row r="1033" spans="1:8" x14ac:dyDescent="0.3">
      <c r="A1033" s="25">
        <v>1032</v>
      </c>
      <c r="B1033" s="26">
        <v>76</v>
      </c>
      <c r="C1033" s="26">
        <v>5</v>
      </c>
      <c r="D1033" s="26">
        <v>2</v>
      </c>
      <c r="E1033" s="26">
        <v>18</v>
      </c>
      <c r="F1033" s="28" t="str">
        <f>PROPER(nutrition!$H1033)</f>
        <v>Rambutan Binjai Segar</v>
      </c>
      <c r="G1033" s="26" t="str">
        <f>IF(nutrition!$B1033&gt;300,"Tinggi Kalori",IF(nutrition!$B1033&gt;100,"Kalori Sedang","Rendah Kalori"))</f>
        <v>Rendah Kalori</v>
      </c>
      <c r="H1033" s="27" t="s">
        <v>1037</v>
      </c>
    </row>
    <row r="1034" spans="1:8" x14ac:dyDescent="0.3">
      <c r="A1034" s="21">
        <v>1033</v>
      </c>
      <c r="B1034" s="22">
        <v>4</v>
      </c>
      <c r="C1034" s="22">
        <v>0</v>
      </c>
      <c r="D1034" s="22">
        <v>0</v>
      </c>
      <c r="E1034" s="22">
        <v>9</v>
      </c>
      <c r="F1034" s="24" t="str">
        <f>PROPER(nutrition!$H1034)</f>
        <v>Rambutan Sinyonya</v>
      </c>
      <c r="G1034" s="22" t="str">
        <f>IF(nutrition!$B1034&gt;300,"Tinggi Kalori",IF(nutrition!$B1034&gt;100,"Kalori Sedang","Rendah Kalori"))</f>
        <v>Rendah Kalori</v>
      </c>
      <c r="H1034" s="23" t="s">
        <v>1038</v>
      </c>
    </row>
    <row r="1035" spans="1:8" x14ac:dyDescent="0.3">
      <c r="A1035" s="25">
        <v>1034</v>
      </c>
      <c r="B1035" s="26">
        <v>295</v>
      </c>
      <c r="C1035" s="26">
        <v>73</v>
      </c>
      <c r="D1035" s="26">
        <v>85</v>
      </c>
      <c r="E1035" s="26">
        <v>475</v>
      </c>
      <c r="F1035" s="28" t="str">
        <f>PROPER(nutrition!$H1035)</f>
        <v xml:space="preserve">Rarawuan </v>
      </c>
      <c r="G1035" s="26" t="str">
        <f>IF(nutrition!$B1035&gt;300,"Tinggi Kalori",IF(nutrition!$B1035&gt;100,"Kalori Sedang","Rendah Kalori"))</f>
        <v>Kalori Sedang</v>
      </c>
      <c r="H1035" s="27" t="s">
        <v>1039</v>
      </c>
    </row>
    <row r="1036" spans="1:8" x14ac:dyDescent="0.3">
      <c r="A1036" s="21">
        <v>1035</v>
      </c>
      <c r="B1036" s="22">
        <v>394</v>
      </c>
      <c r="C1036" s="22">
        <v>22</v>
      </c>
      <c r="D1036" s="22">
        <v>88</v>
      </c>
      <c r="E1036" s="22">
        <v>766</v>
      </c>
      <c r="F1036" s="24" t="str">
        <f>PROPER(nutrition!$H1036)</f>
        <v>Rasbi (Beras Ubi)</v>
      </c>
      <c r="G1036" s="22" t="str">
        <f>IF(nutrition!$B1036&gt;300,"Tinggi Kalori",IF(nutrition!$B1036&gt;100,"Kalori Sedang","Rendah Kalori"))</f>
        <v>Tinggi Kalori</v>
      </c>
      <c r="H1036" s="23" t="s">
        <v>1040</v>
      </c>
    </row>
    <row r="1037" spans="1:8" x14ac:dyDescent="0.3">
      <c r="A1037" s="25">
        <v>1036</v>
      </c>
      <c r="B1037" s="26">
        <v>350</v>
      </c>
      <c r="C1037" s="26">
        <v>9</v>
      </c>
      <c r="D1037" s="26">
        <v>4</v>
      </c>
      <c r="E1037" s="26">
        <v>857</v>
      </c>
      <c r="F1037" s="28" t="str">
        <f>PROPER(nutrition!$H1037)</f>
        <v>Rasi (Beras Singkong)</v>
      </c>
      <c r="G1037" s="26" t="str">
        <f>IF(nutrition!$B1037&gt;300,"Tinggi Kalori",IF(nutrition!$B1037&gt;100,"Kalori Sedang","Rendah Kalori"))</f>
        <v>Tinggi Kalori</v>
      </c>
      <c r="H1037" s="27" t="s">
        <v>1041</v>
      </c>
    </row>
    <row r="1038" spans="1:8" x14ac:dyDescent="0.3">
      <c r="A1038" s="21">
        <v>1037</v>
      </c>
      <c r="B1038" s="22">
        <v>60</v>
      </c>
      <c r="C1038" s="22">
        <v>54</v>
      </c>
      <c r="D1038" s="22">
        <v>25</v>
      </c>
      <c r="E1038" s="22">
        <v>4</v>
      </c>
      <c r="F1038" s="24" t="str">
        <f>PROPER(nutrition!$H1038)</f>
        <v>Rawon Masakan</v>
      </c>
      <c r="G1038" s="22" t="str">
        <f>IF(nutrition!$B1038&gt;300,"Tinggi Kalori",IF(nutrition!$B1038&gt;100,"Kalori Sedang","Rendah Kalori"))</f>
        <v>Rendah Kalori</v>
      </c>
      <c r="H1038" s="23" t="s">
        <v>1042</v>
      </c>
    </row>
    <row r="1039" spans="1:8" x14ac:dyDescent="0.3">
      <c r="A1039" s="25">
        <v>1038</v>
      </c>
      <c r="B1039" s="26">
        <v>81</v>
      </c>
      <c r="C1039" s="26">
        <v>162</v>
      </c>
      <c r="D1039" s="26">
        <v>12</v>
      </c>
      <c r="E1039" s="26">
        <v>7</v>
      </c>
      <c r="F1039" s="28" t="str">
        <f>PROPER(nutrition!$H1039)</f>
        <v>Rebon (Udang Kecil Segar)</v>
      </c>
      <c r="G1039" s="26" t="str">
        <f>IF(nutrition!$B1039&gt;300,"Tinggi Kalori",IF(nutrition!$B1039&gt;100,"Kalori Sedang","Rendah Kalori"))</f>
        <v>Rendah Kalori</v>
      </c>
      <c r="H1039" s="27" t="s">
        <v>1043</v>
      </c>
    </row>
    <row r="1040" spans="1:8" x14ac:dyDescent="0.3">
      <c r="A1040" s="21">
        <v>1039</v>
      </c>
      <c r="B1040" s="22">
        <v>299</v>
      </c>
      <c r="C1040" s="22">
        <v>294</v>
      </c>
      <c r="D1040" s="22">
        <v>36</v>
      </c>
      <c r="E1040" s="22">
        <v>32</v>
      </c>
      <c r="F1040" s="24" t="str">
        <f>PROPER(nutrition!$H1040)</f>
        <v>Rebon Kering</v>
      </c>
      <c r="G1040" s="22" t="str">
        <f>IF(nutrition!$B1040&gt;300,"Tinggi Kalori",IF(nutrition!$B1040&gt;100,"Kalori Sedang","Rendah Kalori"))</f>
        <v>Kalori Sedang</v>
      </c>
      <c r="H1040" s="23" t="s">
        <v>1044</v>
      </c>
    </row>
    <row r="1041" spans="1:8" x14ac:dyDescent="0.3">
      <c r="A1041" s="25">
        <v>1040</v>
      </c>
      <c r="B1041" s="26">
        <v>81</v>
      </c>
      <c r="C1041" s="26">
        <v>162</v>
      </c>
      <c r="D1041" s="26">
        <v>12</v>
      </c>
      <c r="E1041" s="26">
        <v>7</v>
      </c>
      <c r="F1041" s="28" t="str">
        <f>PROPER(nutrition!$H1041)</f>
        <v>Rebon Udang Kecil Segar</v>
      </c>
      <c r="G1041" s="26" t="str">
        <f>IF(nutrition!$B1041&gt;300,"Tinggi Kalori",IF(nutrition!$B1041&gt;100,"Kalori Sedang","Rendah Kalori"))</f>
        <v>Rendah Kalori</v>
      </c>
      <c r="H1041" s="27" t="s">
        <v>1045</v>
      </c>
    </row>
    <row r="1042" spans="1:8" x14ac:dyDescent="0.3">
      <c r="A1042" s="21">
        <v>1041</v>
      </c>
      <c r="B1042" s="22">
        <v>27</v>
      </c>
      <c r="C1042" s="22">
        <v>6</v>
      </c>
      <c r="D1042" s="22">
        <v>3</v>
      </c>
      <c r="E1042" s="22">
        <v>52</v>
      </c>
      <c r="F1042" s="24" t="str">
        <f>PROPER(nutrition!$H1042)</f>
        <v>Rebung</v>
      </c>
      <c r="G1042" s="22" t="str">
        <f>IF(nutrition!$B1042&gt;300,"Tinggi Kalori",IF(nutrition!$B1042&gt;100,"Kalori Sedang","Rendah Kalori"))</f>
        <v>Rendah Kalori</v>
      </c>
      <c r="H1042" s="23" t="s">
        <v>1046</v>
      </c>
    </row>
    <row r="1043" spans="1:8" x14ac:dyDescent="0.3">
      <c r="A1043" s="25">
        <v>1042</v>
      </c>
      <c r="B1043" s="26">
        <v>320</v>
      </c>
      <c r="C1043" s="26">
        <v>72</v>
      </c>
      <c r="D1043" s="26">
        <v>42</v>
      </c>
      <c r="E1043" s="26">
        <v>633</v>
      </c>
      <c r="F1043" s="28" t="str">
        <f>PROPER(nutrition!$H1043)</f>
        <v>Rebung Laut Mentah</v>
      </c>
      <c r="G1043" s="26" t="str">
        <f>IF(nutrition!$B1043&gt;300,"Tinggi Kalori",IF(nutrition!$B1043&gt;100,"Kalori Sedang","Rendah Kalori"))</f>
        <v>Tinggi Kalori</v>
      </c>
      <c r="H1043" s="27" t="s">
        <v>1047</v>
      </c>
    </row>
    <row r="1044" spans="1:8" x14ac:dyDescent="0.3">
      <c r="A1044" s="21">
        <v>1043</v>
      </c>
      <c r="B1044" s="22">
        <v>451</v>
      </c>
      <c r="C1044" s="22">
        <v>112</v>
      </c>
      <c r="D1044" s="22">
        <v>202</v>
      </c>
      <c r="E1044" s="22">
        <v>597</v>
      </c>
      <c r="F1044" s="24" t="str">
        <f>PROPER(nutrition!$H1044)</f>
        <v>Rempeyek Kacang Tolo</v>
      </c>
      <c r="G1044" s="22" t="str">
        <f>IF(nutrition!$B1044&gt;300,"Tinggi Kalori",IF(nutrition!$B1044&gt;100,"Kalori Sedang","Rendah Kalori"))</f>
        <v>Tinggi Kalori</v>
      </c>
      <c r="H1044" s="23" t="s">
        <v>1048</v>
      </c>
    </row>
    <row r="1045" spans="1:8" x14ac:dyDescent="0.3">
      <c r="A1045" s="25">
        <v>1044</v>
      </c>
      <c r="B1045" s="26">
        <v>497</v>
      </c>
      <c r="C1045" s="26">
        <v>17</v>
      </c>
      <c r="D1045" s="26">
        <v>276</v>
      </c>
      <c r="E1045" s="26">
        <v>508</v>
      </c>
      <c r="F1045" s="28" t="str">
        <f>PROPER(nutrition!$H1045)</f>
        <v>Rempeyek Kacang Uci</v>
      </c>
      <c r="G1045" s="26" t="str">
        <f>IF(nutrition!$B1045&gt;300,"Tinggi Kalori",IF(nutrition!$B1045&gt;100,"Kalori Sedang","Rendah Kalori"))</f>
        <v>Tinggi Kalori</v>
      </c>
      <c r="H1045" s="27" t="s">
        <v>1049</v>
      </c>
    </row>
    <row r="1046" spans="1:8" x14ac:dyDescent="0.3">
      <c r="A1046" s="21">
        <v>1045</v>
      </c>
      <c r="B1046" s="22">
        <v>193</v>
      </c>
      <c r="C1046" s="22">
        <v>226</v>
      </c>
      <c r="D1046" s="22">
        <v>79</v>
      </c>
      <c r="E1046" s="22">
        <v>78</v>
      </c>
      <c r="F1046" s="24" t="str">
        <f>PROPER(nutrition!$H1046)</f>
        <v>Rendang Sapi Masakan</v>
      </c>
      <c r="G1046" s="22" t="str">
        <f>IF(nutrition!$B1046&gt;300,"Tinggi Kalori",IF(nutrition!$B1046&gt;100,"Kalori Sedang","Rendah Kalori"))</f>
        <v>Kalori Sedang</v>
      </c>
      <c r="H1046" s="23" t="s">
        <v>1050</v>
      </c>
    </row>
    <row r="1047" spans="1:8" x14ac:dyDescent="0.3">
      <c r="A1047" s="25">
        <v>1046</v>
      </c>
      <c r="B1047" s="26">
        <v>471</v>
      </c>
      <c r="C1047" s="26">
        <v>47</v>
      </c>
      <c r="D1047" s="26">
        <v>218</v>
      </c>
      <c r="E1047" s="26">
        <v>641</v>
      </c>
      <c r="F1047" s="28" t="str">
        <f>PROPER(nutrition!$H1047)</f>
        <v>Renggi Goreng</v>
      </c>
      <c r="G1047" s="26" t="str">
        <f>IF(nutrition!$B1047&gt;300,"Tinggi Kalori",IF(nutrition!$B1047&gt;100,"Kalori Sedang","Rendah Kalori"))</f>
        <v>Tinggi Kalori</v>
      </c>
      <c r="H1047" s="27" t="s">
        <v>1051</v>
      </c>
    </row>
    <row r="1048" spans="1:8" x14ac:dyDescent="0.3">
      <c r="A1048" s="21">
        <v>1047</v>
      </c>
      <c r="B1048" s="22">
        <v>75</v>
      </c>
      <c r="C1048" s="22">
        <v>16</v>
      </c>
      <c r="D1048" s="22">
        <v>6</v>
      </c>
      <c r="E1048" s="22">
        <v>158</v>
      </c>
      <c r="F1048" s="24" t="str">
        <f>PROPER(nutrition!$H1048)</f>
        <v>Rimbang Segar</v>
      </c>
      <c r="G1048" s="22" t="str">
        <f>IF(nutrition!$B1048&gt;300,"Tinggi Kalori",IF(nutrition!$B1048&gt;100,"Kalori Sedang","Rendah Kalori"))</f>
        <v>Rendah Kalori</v>
      </c>
      <c r="H1048" s="23" t="s">
        <v>1052</v>
      </c>
    </row>
    <row r="1049" spans="1:8" x14ac:dyDescent="0.3">
      <c r="A1049" s="25">
        <v>1048</v>
      </c>
      <c r="B1049" s="26">
        <v>335</v>
      </c>
      <c r="C1049" s="26">
        <v>53</v>
      </c>
      <c r="D1049" s="26">
        <v>35</v>
      </c>
      <c r="E1049" s="26">
        <v>705</v>
      </c>
      <c r="F1049" s="28" t="str">
        <f>PROPER(nutrition!$H1049)</f>
        <v xml:space="preserve">Risoles </v>
      </c>
      <c r="G1049" s="26" t="str">
        <f>IF(nutrition!$B1049&gt;300,"Tinggi Kalori",IF(nutrition!$B1049&gt;100,"Kalori Sedang","Rendah Kalori"))</f>
        <v>Tinggi Kalori</v>
      </c>
      <c r="H1049" s="27" t="s">
        <v>1053</v>
      </c>
    </row>
    <row r="1050" spans="1:8" x14ac:dyDescent="0.3">
      <c r="A1050" s="21">
        <v>1049</v>
      </c>
      <c r="B1050" s="22">
        <v>341</v>
      </c>
      <c r="C1050" s="22">
        <v>55</v>
      </c>
      <c r="D1050" s="22">
        <v>162</v>
      </c>
      <c r="E1050" s="22">
        <v>433</v>
      </c>
      <c r="F1050" s="24" t="str">
        <f>PROPER(nutrition!$H1050)</f>
        <v>Roti Boong</v>
      </c>
      <c r="G1050" s="22" t="str">
        <f>IF(nutrition!$B1050&gt;300,"Tinggi Kalori",IF(nutrition!$B1050&gt;100,"Kalori Sedang","Rendah Kalori"))</f>
        <v>Tinggi Kalori</v>
      </c>
      <c r="H1050" s="23" t="s">
        <v>1054</v>
      </c>
    </row>
    <row r="1051" spans="1:8" x14ac:dyDescent="0.3">
      <c r="A1051" s="25">
        <v>1050</v>
      </c>
      <c r="B1051" s="26">
        <v>350</v>
      </c>
      <c r="C1051" s="26">
        <v>75</v>
      </c>
      <c r="D1051" s="26">
        <v>2</v>
      </c>
      <c r="E1051" s="26">
        <v>755</v>
      </c>
      <c r="F1051" s="28" t="str">
        <f>PROPER(nutrition!$H1051)</f>
        <v xml:space="preserve">Roti Gambang </v>
      </c>
      <c r="G1051" s="26" t="str">
        <f>IF(nutrition!$B1051&gt;300,"Tinggi Kalori",IF(nutrition!$B1051&gt;100,"Kalori Sedang","Rendah Kalori"))</f>
        <v>Tinggi Kalori</v>
      </c>
      <c r="H1051" s="27" t="s">
        <v>1055</v>
      </c>
    </row>
    <row r="1052" spans="1:8" x14ac:dyDescent="0.3">
      <c r="A1052" s="21">
        <v>1051</v>
      </c>
      <c r="B1052" s="22">
        <v>248</v>
      </c>
      <c r="C1052" s="22">
        <v>8</v>
      </c>
      <c r="D1052" s="22">
        <v>12</v>
      </c>
      <c r="E1052" s="22">
        <v>50</v>
      </c>
      <c r="F1052" s="24" t="str">
        <f>PROPER(nutrition!$H1052)</f>
        <v>Roti Putih</v>
      </c>
      <c r="G1052" s="22" t="str">
        <f>IF(nutrition!$B1052&gt;300,"Tinggi Kalori",IF(nutrition!$B1052&gt;100,"Kalori Sedang","Rendah Kalori"))</f>
        <v>Kalori Sedang</v>
      </c>
      <c r="H1052" s="23" t="s">
        <v>1056</v>
      </c>
    </row>
    <row r="1053" spans="1:8" x14ac:dyDescent="0.3">
      <c r="A1053" s="25">
        <v>1052</v>
      </c>
      <c r="B1053" s="26">
        <v>249</v>
      </c>
      <c r="C1053" s="26">
        <v>79</v>
      </c>
      <c r="D1053" s="26">
        <v>15</v>
      </c>
      <c r="E1053" s="26">
        <v>497</v>
      </c>
      <c r="F1053" s="28" t="str">
        <f>PROPER(nutrition!$H1053)</f>
        <v>Roti Warna Sawo Matang</v>
      </c>
      <c r="G1053" s="26" t="str">
        <f>IF(nutrition!$B1053&gt;300,"Tinggi Kalori",IF(nutrition!$B1053&gt;100,"Kalori Sedang","Rendah Kalori"))</f>
        <v>Kalori Sedang</v>
      </c>
      <c r="H1053" s="27" t="s">
        <v>1057</v>
      </c>
    </row>
    <row r="1054" spans="1:8" x14ac:dyDescent="0.3">
      <c r="A1054" s="21">
        <v>1053</v>
      </c>
      <c r="B1054" s="22">
        <v>153</v>
      </c>
      <c r="C1054" s="22">
        <v>113</v>
      </c>
      <c r="D1054" s="22">
        <v>84</v>
      </c>
      <c r="E1054" s="22">
        <v>8</v>
      </c>
      <c r="F1054" s="24" t="str">
        <f>PROPER(nutrition!$H1054)</f>
        <v>Rujak Cingur</v>
      </c>
      <c r="G1054" s="22" t="str">
        <f>IF(nutrition!$B1054&gt;300,"Tinggi Kalori",IF(nutrition!$B1054&gt;100,"Kalori Sedang","Rendah Kalori"))</f>
        <v>Kalori Sedang</v>
      </c>
      <c r="H1054" s="23" t="s">
        <v>1058</v>
      </c>
    </row>
    <row r="1055" spans="1:8" x14ac:dyDescent="0.3">
      <c r="A1055" s="25">
        <v>1054</v>
      </c>
      <c r="B1055" s="26">
        <v>41</v>
      </c>
      <c r="C1055" s="26">
        <v>14</v>
      </c>
      <c r="D1055" s="26">
        <v>3</v>
      </c>
      <c r="E1055" s="26">
        <v>81</v>
      </c>
      <c r="F1055" s="28" t="str">
        <f>PROPER(nutrition!$H1055)</f>
        <v>Rumput Laut</v>
      </c>
      <c r="G1055" s="26" t="str">
        <f>IF(nutrition!$B1055&gt;300,"Tinggi Kalori",IF(nutrition!$B1055&gt;100,"Kalori Sedang","Rendah Kalori"))</f>
        <v>Rendah Kalori</v>
      </c>
      <c r="H1055" s="27" t="s">
        <v>1059</v>
      </c>
    </row>
    <row r="1056" spans="1:8" x14ac:dyDescent="0.3">
      <c r="A1056" s="21">
        <v>1055</v>
      </c>
      <c r="B1056" s="22">
        <v>536</v>
      </c>
      <c r="C1056" s="22">
        <v>405</v>
      </c>
      <c r="D1056" s="22">
        <v>415</v>
      </c>
      <c r="E1056" s="22">
        <v>0</v>
      </c>
      <c r="F1056" s="24" t="str">
        <f>PROPER(nutrition!$H1056)</f>
        <v>Rusa Daging Dendeng Mentah</v>
      </c>
      <c r="G1056" s="22" t="str">
        <f>IF(nutrition!$B1056&gt;300,"Tinggi Kalori",IF(nutrition!$B1056&gt;100,"Kalori Sedang","Rendah Kalori"))</f>
        <v>Tinggi Kalori</v>
      </c>
      <c r="H1056" s="23" t="s">
        <v>1060</v>
      </c>
    </row>
    <row r="1057" spans="1:8" x14ac:dyDescent="0.3">
      <c r="A1057" s="25">
        <v>1056</v>
      </c>
      <c r="B1057" s="26">
        <v>110</v>
      </c>
      <c r="C1057" s="26">
        <v>115</v>
      </c>
      <c r="D1057" s="26">
        <v>2</v>
      </c>
      <c r="E1057" s="26">
        <v>117</v>
      </c>
      <c r="F1057" s="28" t="str">
        <f>PROPER(nutrition!$H1057)</f>
        <v>Rusip</v>
      </c>
      <c r="G1057" s="26" t="str">
        <f>IF(nutrition!$B1057&gt;300,"Tinggi Kalori",IF(nutrition!$B1057&gt;100,"Kalori Sedang","Rendah Kalori"))</f>
        <v>Kalori Sedang</v>
      </c>
      <c r="H1057" s="27" t="s">
        <v>1061</v>
      </c>
    </row>
    <row r="1058" spans="1:8" x14ac:dyDescent="0.3">
      <c r="A1058" s="21">
        <v>1057</v>
      </c>
      <c r="B1058" s="22">
        <v>198</v>
      </c>
      <c r="C1058" s="22">
        <v>246</v>
      </c>
      <c r="D1058" s="22">
        <v>107</v>
      </c>
      <c r="E1058" s="22">
        <v>9</v>
      </c>
      <c r="F1058" s="24" t="str">
        <f>PROPER(nutrition!$H1058)</f>
        <v>Rw Anjing Masakan</v>
      </c>
      <c r="G1058" s="22" t="str">
        <f>IF(nutrition!$B1058&gt;300,"Tinggi Kalori",IF(nutrition!$B1058&gt;100,"Kalori Sedang","Rendah Kalori"))</f>
        <v>Kalori Sedang</v>
      </c>
      <c r="H1058" s="23" t="s">
        <v>1062</v>
      </c>
    </row>
    <row r="1059" spans="1:8" x14ac:dyDescent="0.3">
      <c r="A1059" s="25">
        <v>1058</v>
      </c>
      <c r="B1059" s="26">
        <v>449</v>
      </c>
      <c r="C1059" s="26">
        <v>306</v>
      </c>
      <c r="D1059" s="26">
        <v>255</v>
      </c>
      <c r="E1059" s="26">
        <v>319</v>
      </c>
      <c r="F1059" s="28" t="str">
        <f>PROPER(nutrition!$H1059)</f>
        <v>Saga Biji Tanpa Kulit</v>
      </c>
      <c r="G1059" s="26" t="str">
        <f>IF(nutrition!$B1059&gt;300,"Tinggi Kalori",IF(nutrition!$B1059&gt;100,"Kalori Sedang","Rendah Kalori"))</f>
        <v>Tinggi Kalori</v>
      </c>
      <c r="H1059" s="27" t="s">
        <v>1063</v>
      </c>
    </row>
    <row r="1060" spans="1:8" x14ac:dyDescent="0.3">
      <c r="A1060" s="21">
        <v>1059</v>
      </c>
      <c r="B1060" s="22">
        <v>338</v>
      </c>
      <c r="C1060" s="22">
        <v>6</v>
      </c>
      <c r="D1060" s="22">
        <v>3</v>
      </c>
      <c r="E1060" s="22">
        <v>831</v>
      </c>
      <c r="F1060" s="24" t="str">
        <f>PROPER(nutrition!$H1060)</f>
        <v xml:space="preserve">Sagu Ambon </v>
      </c>
      <c r="G1060" s="22" t="str">
        <f>IF(nutrition!$B1060&gt;300,"Tinggi Kalori",IF(nutrition!$B1060&gt;100,"Kalori Sedang","Rendah Kalori"))</f>
        <v>Tinggi Kalori</v>
      </c>
      <c r="H1060" s="23" t="s">
        <v>1064</v>
      </c>
    </row>
    <row r="1061" spans="1:8" x14ac:dyDescent="0.3">
      <c r="A1061" s="25">
        <v>1060</v>
      </c>
      <c r="B1061" s="26">
        <v>355</v>
      </c>
      <c r="C1061" s="26">
        <v>6</v>
      </c>
      <c r="D1061" s="26">
        <v>11</v>
      </c>
      <c r="E1061" s="26">
        <v>856</v>
      </c>
      <c r="F1061" s="28" t="str">
        <f>PROPER(nutrition!$H1061)</f>
        <v>Sagu Aren Kering</v>
      </c>
      <c r="G1061" s="26" t="str">
        <f>IF(nutrition!$B1061&gt;300,"Tinggi Kalori",IF(nutrition!$B1061&gt;100,"Kalori Sedang","Rendah Kalori"))</f>
        <v>Tinggi Kalori</v>
      </c>
      <c r="H1061" s="27" t="s">
        <v>1065</v>
      </c>
    </row>
    <row r="1062" spans="1:8" x14ac:dyDescent="0.3">
      <c r="A1062" s="21">
        <v>1061</v>
      </c>
      <c r="B1062" s="22">
        <v>231</v>
      </c>
      <c r="C1062" s="22">
        <v>6</v>
      </c>
      <c r="D1062" s="22">
        <v>2</v>
      </c>
      <c r="E1062" s="22">
        <v>566</v>
      </c>
      <c r="F1062" s="24" t="str">
        <f>PROPER(nutrition!$H1062)</f>
        <v>Sagu Aren Segar</v>
      </c>
      <c r="G1062" s="22" t="str">
        <f>IF(nutrition!$B1062&gt;300,"Tinggi Kalori",IF(nutrition!$B1062&gt;100,"Kalori Sedang","Rendah Kalori"))</f>
        <v>Kalori Sedang</v>
      </c>
      <c r="H1062" s="23" t="s">
        <v>1066</v>
      </c>
    </row>
    <row r="1063" spans="1:8" x14ac:dyDescent="0.3">
      <c r="A1063" s="25">
        <v>1062</v>
      </c>
      <c r="B1063" s="26">
        <v>291</v>
      </c>
      <c r="C1063" s="26">
        <v>5</v>
      </c>
      <c r="D1063" s="26">
        <v>4</v>
      </c>
      <c r="E1063" s="26">
        <v>634</v>
      </c>
      <c r="F1063" s="28" t="str">
        <f>PROPER(nutrition!$H1063)</f>
        <v>Sagu Forno</v>
      </c>
      <c r="G1063" s="26" t="str">
        <f>IF(nutrition!$B1063&gt;300,"Tinggi Kalori",IF(nutrition!$B1063&gt;100,"Kalori Sedang","Rendah Kalori"))</f>
        <v>Kalori Sedang</v>
      </c>
      <c r="H1063" s="27" t="s">
        <v>1067</v>
      </c>
    </row>
    <row r="1064" spans="1:8" x14ac:dyDescent="0.3">
      <c r="A1064" s="21">
        <v>1063</v>
      </c>
      <c r="B1064" s="22">
        <v>230</v>
      </c>
      <c r="C1064" s="22">
        <v>6</v>
      </c>
      <c r="D1064" s="22">
        <v>2</v>
      </c>
      <c r="E1064" s="22">
        <v>565</v>
      </c>
      <c r="F1064" s="24" t="str">
        <f>PROPER(nutrition!$H1064)</f>
        <v>Sagu Kasbi Segar</v>
      </c>
      <c r="G1064" s="22" t="str">
        <f>IF(nutrition!$B1064&gt;300,"Tinggi Kalori",IF(nutrition!$B1064&gt;100,"Kalori Sedang","Rendah Kalori"))</f>
        <v>Kalori Sedang</v>
      </c>
      <c r="H1064" s="23" t="s">
        <v>1068</v>
      </c>
    </row>
    <row r="1065" spans="1:8" x14ac:dyDescent="0.3">
      <c r="A1065" s="25">
        <v>1064</v>
      </c>
      <c r="B1065" s="26">
        <v>452</v>
      </c>
      <c r="C1065" s="26">
        <v>28</v>
      </c>
      <c r="D1065" s="26">
        <v>148</v>
      </c>
      <c r="E1065" s="26">
        <v>768</v>
      </c>
      <c r="F1065" s="28" t="str">
        <f>PROPER(nutrition!$H1065)</f>
        <v>Sagu Lemak (Kue Sagon)</v>
      </c>
      <c r="G1065" s="26" t="str">
        <f>IF(nutrition!$B1065&gt;300,"Tinggi Kalori",IF(nutrition!$B1065&gt;100,"Kalori Sedang","Rendah Kalori"))</f>
        <v>Tinggi Kalori</v>
      </c>
      <c r="H1065" s="27" t="s">
        <v>1069</v>
      </c>
    </row>
    <row r="1066" spans="1:8" x14ac:dyDescent="0.3">
      <c r="A1066" s="21">
        <v>1065</v>
      </c>
      <c r="B1066" s="22">
        <v>347</v>
      </c>
      <c r="C1066" s="22">
        <v>9</v>
      </c>
      <c r="D1066" s="22">
        <v>3</v>
      </c>
      <c r="E1066" s="22">
        <v>852</v>
      </c>
      <c r="F1066" s="24" t="str">
        <f>PROPER(nutrition!$H1066)</f>
        <v>Sagu Lempeng</v>
      </c>
      <c r="G1066" s="22" t="str">
        <f>IF(nutrition!$B1066&gt;300,"Tinggi Kalori",IF(nutrition!$B1066&gt;100,"Kalori Sedang","Rendah Kalori"))</f>
        <v>Tinggi Kalori</v>
      </c>
      <c r="H1066" s="23" t="s">
        <v>1070</v>
      </c>
    </row>
    <row r="1067" spans="1:8" x14ac:dyDescent="0.3">
      <c r="A1067" s="25">
        <v>1066</v>
      </c>
      <c r="B1067" s="26">
        <v>364</v>
      </c>
      <c r="C1067" s="26">
        <v>1</v>
      </c>
      <c r="D1067" s="26">
        <v>2</v>
      </c>
      <c r="E1067" s="26">
        <v>905</v>
      </c>
      <c r="F1067" s="28" t="str">
        <f>PROPER(nutrition!$H1067)</f>
        <v>Sagu Rendang</v>
      </c>
      <c r="G1067" s="26" t="str">
        <f>IF(nutrition!$B1067&gt;300,"Tinggi Kalori",IF(nutrition!$B1067&gt;100,"Kalori Sedang","Rendah Kalori"))</f>
        <v>Tinggi Kalori</v>
      </c>
      <c r="H1067" s="27" t="s">
        <v>1071</v>
      </c>
    </row>
    <row r="1068" spans="1:8" x14ac:dyDescent="0.3">
      <c r="A1068" s="21">
        <v>1067</v>
      </c>
      <c r="B1068" s="22">
        <v>362</v>
      </c>
      <c r="C1068" s="22">
        <v>5</v>
      </c>
      <c r="D1068" s="22">
        <v>3</v>
      </c>
      <c r="E1068" s="22">
        <v>869</v>
      </c>
      <c r="F1068" s="24" t="str">
        <f>PROPER(nutrition!$H1068)</f>
        <v>Sagu Singkong Kering</v>
      </c>
      <c r="G1068" s="22" t="str">
        <f>IF(nutrition!$B1068&gt;300,"Tinggi Kalori",IF(nutrition!$B1068&gt;100,"Kalori Sedang","Rendah Kalori"))</f>
        <v>Tinggi Kalori</v>
      </c>
      <c r="H1068" s="23" t="s">
        <v>1072</v>
      </c>
    </row>
    <row r="1069" spans="1:8" x14ac:dyDescent="0.3">
      <c r="A1069" s="25">
        <v>1068</v>
      </c>
      <c r="B1069" s="26">
        <v>354</v>
      </c>
      <c r="C1069" s="26">
        <v>8</v>
      </c>
      <c r="D1069" s="26">
        <v>83</v>
      </c>
      <c r="E1069" s="26">
        <v>689</v>
      </c>
      <c r="F1069" s="28" t="str">
        <f>PROPER(nutrition!$H1069)</f>
        <v>Sagu Sinole</v>
      </c>
      <c r="G1069" s="26" t="str">
        <f>IF(nutrition!$B1069&gt;300,"Tinggi Kalori",IF(nutrition!$B1069&gt;100,"Kalori Sedang","Rendah Kalori"))</f>
        <v>Tinggi Kalori</v>
      </c>
      <c r="H1069" s="27" t="s">
        <v>1073</v>
      </c>
    </row>
    <row r="1070" spans="1:8" x14ac:dyDescent="0.3">
      <c r="A1070" s="21">
        <v>1069</v>
      </c>
      <c r="B1070" s="22">
        <v>57</v>
      </c>
      <c r="C1070" s="22">
        <v>5</v>
      </c>
      <c r="D1070" s="22">
        <v>1</v>
      </c>
      <c r="E1070" s="22">
        <v>136</v>
      </c>
      <c r="F1070" s="24" t="str">
        <f>PROPER(nutrition!$H1070)</f>
        <v>Salak Bali Segar</v>
      </c>
      <c r="G1070" s="22" t="str">
        <f>IF(nutrition!$B1070&gt;300,"Tinggi Kalori",IF(nutrition!$B1070&gt;100,"Kalori Sedang","Rendah Kalori"))</f>
        <v>Rendah Kalori</v>
      </c>
      <c r="H1070" s="23" t="s">
        <v>1074</v>
      </c>
    </row>
    <row r="1071" spans="1:8" x14ac:dyDescent="0.3">
      <c r="A1071" s="25">
        <v>1070</v>
      </c>
      <c r="B1071" s="26">
        <v>55</v>
      </c>
      <c r="C1071" s="26">
        <v>4</v>
      </c>
      <c r="D1071" s="26">
        <v>2</v>
      </c>
      <c r="E1071" s="26">
        <v>128</v>
      </c>
      <c r="F1071" s="28" t="str">
        <f>PROPER(nutrition!$H1071)</f>
        <v>Salak Medan Segar</v>
      </c>
      <c r="G1071" s="26" t="str">
        <f>IF(nutrition!$B1071&gt;300,"Tinggi Kalori",IF(nutrition!$B1071&gt;100,"Kalori Sedang","Rendah Kalori"))</f>
        <v>Rendah Kalori</v>
      </c>
      <c r="H1071" s="27" t="s">
        <v>1075</v>
      </c>
    </row>
    <row r="1072" spans="1:8" x14ac:dyDescent="0.3">
      <c r="A1072" s="21">
        <v>1071</v>
      </c>
      <c r="B1072" s="22">
        <v>87</v>
      </c>
      <c r="C1072" s="22">
        <v>8</v>
      </c>
      <c r="D1072" s="22">
        <v>4</v>
      </c>
      <c r="E1072" s="22">
        <v>201</v>
      </c>
      <c r="F1072" s="24" t="str">
        <f>PROPER(nutrition!$H1072)</f>
        <v>Salak Pondoh Segar</v>
      </c>
      <c r="G1072" s="22" t="str">
        <f>IF(nutrition!$B1072&gt;300,"Tinggi Kalori",IF(nutrition!$B1072&gt;100,"Kalori Sedang","Rendah Kalori"))</f>
        <v>Rendah Kalori</v>
      </c>
      <c r="H1072" s="23" t="s">
        <v>1076</v>
      </c>
    </row>
    <row r="1073" spans="1:8" x14ac:dyDescent="0.3">
      <c r="A1073" s="25">
        <v>1072</v>
      </c>
      <c r="B1073" s="26">
        <v>281</v>
      </c>
      <c r="C1073" s="26">
        <v>24</v>
      </c>
      <c r="D1073" s="26">
        <v>7</v>
      </c>
      <c r="E1073" s="26">
        <v>661</v>
      </c>
      <c r="F1073" s="28" t="str">
        <f>PROPER(nutrition!$H1073)</f>
        <v>Sale Pisang Siam</v>
      </c>
      <c r="G1073" s="26" t="str">
        <f>IF(nutrition!$B1073&gt;300,"Tinggi Kalori",IF(nutrition!$B1073&gt;100,"Kalori Sedang","Rendah Kalori"))</f>
        <v>Kalori Sedang</v>
      </c>
      <c r="H1073" s="27" t="s">
        <v>1077</v>
      </c>
    </row>
    <row r="1074" spans="1:8" x14ac:dyDescent="0.3">
      <c r="A1074" s="21">
        <v>1073</v>
      </c>
      <c r="B1074" s="22">
        <v>122</v>
      </c>
      <c r="C1074" s="22">
        <v>2</v>
      </c>
      <c r="D1074" s="22">
        <v>10</v>
      </c>
      <c r="E1074" s="22">
        <v>76</v>
      </c>
      <c r="F1074" s="24" t="str">
        <f>PROPER(nutrition!$H1074)</f>
        <v>Santan (Dengan Air)</v>
      </c>
      <c r="G1074" s="22" t="str">
        <f>IF(nutrition!$B1074&gt;300,"Tinggi Kalori",IF(nutrition!$B1074&gt;100,"Kalori Sedang","Rendah Kalori"))</f>
        <v>Kalori Sedang</v>
      </c>
      <c r="H1074" s="23" t="s">
        <v>1078</v>
      </c>
    </row>
    <row r="1075" spans="1:8" x14ac:dyDescent="0.3">
      <c r="A1075" s="25">
        <v>1074</v>
      </c>
      <c r="B1075" s="26">
        <v>324</v>
      </c>
      <c r="C1075" s="26">
        <v>42</v>
      </c>
      <c r="D1075" s="26">
        <v>343</v>
      </c>
      <c r="E1075" s="26">
        <v>556</v>
      </c>
      <c r="F1075" s="28" t="str">
        <f>PROPER(nutrition!$H1075)</f>
        <v>Santan (Kelapa Saja)</v>
      </c>
      <c r="G1075" s="26" t="str">
        <f>IF(nutrition!$B1075&gt;300,"Tinggi Kalori",IF(nutrition!$B1075&gt;100,"Kalori Sedang","Rendah Kalori"))</f>
        <v>Tinggi Kalori</v>
      </c>
      <c r="H1075" s="27" t="s">
        <v>1079</v>
      </c>
    </row>
    <row r="1076" spans="1:8" x14ac:dyDescent="0.3">
      <c r="A1076" s="21">
        <v>1075</v>
      </c>
      <c r="B1076" s="22">
        <v>324</v>
      </c>
      <c r="C1076" s="22">
        <v>42</v>
      </c>
      <c r="D1076" s="22">
        <v>343</v>
      </c>
      <c r="E1076" s="22">
        <v>56</v>
      </c>
      <c r="F1076" s="24" t="str">
        <f>PROPER(nutrition!$H1076)</f>
        <v>Santan Murni</v>
      </c>
      <c r="G1076" s="22" t="str">
        <f>IF(nutrition!$B1076&gt;300,"Tinggi Kalori",IF(nutrition!$B1076&gt;100,"Kalori Sedang","Rendah Kalori"))</f>
        <v>Tinggi Kalori</v>
      </c>
      <c r="H1076" s="23" t="s">
        <v>1080</v>
      </c>
    </row>
    <row r="1077" spans="1:8" x14ac:dyDescent="0.3">
      <c r="A1077" s="25">
        <v>1076</v>
      </c>
      <c r="B1077" s="26">
        <v>98</v>
      </c>
      <c r="C1077" s="26">
        <v>2</v>
      </c>
      <c r="D1077" s="26">
        <v>4</v>
      </c>
      <c r="E1077" s="26">
        <v>245</v>
      </c>
      <c r="F1077" s="28" t="str">
        <f>PROPER(nutrition!$H1077)</f>
        <v>Saos Tomat</v>
      </c>
      <c r="G1077" s="26" t="str">
        <f>IF(nutrition!$B1077&gt;300,"Tinggi Kalori",IF(nutrition!$B1077&gt;100,"Kalori Sedang","Rendah Kalori"))</f>
        <v>Rendah Kalori</v>
      </c>
      <c r="H1077" s="27" t="s">
        <v>1081</v>
      </c>
    </row>
    <row r="1078" spans="1:8" x14ac:dyDescent="0.3">
      <c r="A1078" s="21">
        <v>1077</v>
      </c>
      <c r="B1078" s="22">
        <v>212</v>
      </c>
      <c r="C1078" s="22">
        <v>18</v>
      </c>
      <c r="D1078" s="22">
        <v>106</v>
      </c>
      <c r="E1078" s="22">
        <v>593</v>
      </c>
      <c r="F1078" s="24" t="str">
        <f>PROPER(nutrition!$H1078)</f>
        <v>Sapi Abon</v>
      </c>
      <c r="G1078" s="22" t="str">
        <f>IF(nutrition!$B1078&gt;300,"Tinggi Kalori",IF(nutrition!$B1078&gt;100,"Kalori Sedang","Rendah Kalori"))</f>
        <v>Kalori Sedang</v>
      </c>
      <c r="H1078" s="23" t="s">
        <v>1082</v>
      </c>
    </row>
    <row r="1079" spans="1:8" x14ac:dyDescent="0.3">
      <c r="A1079" s="25">
        <v>1078</v>
      </c>
      <c r="B1079" s="26">
        <v>108</v>
      </c>
      <c r="C1079" s="26">
        <v>176</v>
      </c>
      <c r="D1079" s="26">
        <v>42</v>
      </c>
      <c r="E1079" s="26">
        <v>0</v>
      </c>
      <c r="F1079" s="28" t="str">
        <f>PROPER(nutrition!$H1079)</f>
        <v>Sapi Babat Segar</v>
      </c>
      <c r="G1079" s="26" t="str">
        <f>IF(nutrition!$B1079&gt;300,"Tinggi Kalori",IF(nutrition!$B1079&gt;100,"Kalori Sedang","Rendah Kalori"))</f>
        <v>Kalori Sedang</v>
      </c>
      <c r="H1079" s="27" t="s">
        <v>1083</v>
      </c>
    </row>
    <row r="1080" spans="1:8" x14ac:dyDescent="0.3">
      <c r="A1080" s="21">
        <v>1079</v>
      </c>
      <c r="B1080" s="22">
        <v>182</v>
      </c>
      <c r="C1080" s="22">
        <v>32</v>
      </c>
      <c r="D1080" s="22">
        <v>6</v>
      </c>
      <c r="E1080" s="22">
        <v>0</v>
      </c>
      <c r="F1080" s="24" t="str">
        <f>PROPER(nutrition!$H1080)</f>
        <v>Sapi Daging Asap</v>
      </c>
      <c r="G1080" s="22" t="str">
        <f>IF(nutrition!$B1080&gt;300,"Tinggi Kalori",IF(nutrition!$B1080&gt;100,"Kalori Sedang","Rendah Kalori"))</f>
        <v>Kalori Sedang</v>
      </c>
      <c r="H1080" s="23" t="s">
        <v>1084</v>
      </c>
    </row>
    <row r="1081" spans="1:8" x14ac:dyDescent="0.3">
      <c r="A1081" s="25">
        <v>1080</v>
      </c>
      <c r="B1081" s="26">
        <v>301</v>
      </c>
      <c r="C1081" s="26">
        <v>55</v>
      </c>
      <c r="D1081" s="26">
        <v>9</v>
      </c>
      <c r="E1081" s="26">
        <v>0</v>
      </c>
      <c r="F1081" s="28" t="str">
        <f>PROPER(nutrition!$H1081)</f>
        <v>Sapi Daging Dendeng Mentah</v>
      </c>
      <c r="G1081" s="26" t="str">
        <f>IF(nutrition!$B1081&gt;300,"Tinggi Kalori",IF(nutrition!$B1081&gt;100,"Kalori Sedang","Rendah Kalori"))</f>
        <v>Tinggi Kalori</v>
      </c>
      <c r="H1081" s="27" t="s">
        <v>1085</v>
      </c>
    </row>
    <row r="1082" spans="1:8" x14ac:dyDescent="0.3">
      <c r="A1082" s="21">
        <v>1081</v>
      </c>
      <c r="B1082" s="22">
        <v>273</v>
      </c>
      <c r="C1082" s="22">
        <v>175</v>
      </c>
      <c r="D1082" s="22">
        <v>22</v>
      </c>
      <c r="E1082" s="22">
        <v>0</v>
      </c>
      <c r="F1082" s="24" t="str">
        <f>PROPER(nutrition!$H1082)</f>
        <v>Sapi Daging Gemuk Segar</v>
      </c>
      <c r="G1082" s="22" t="str">
        <f>IF(nutrition!$B1082&gt;300,"Tinggi Kalori",IF(nutrition!$B1082&gt;100,"Kalori Sedang","Rendah Kalori"))</f>
        <v>Kalori Sedang</v>
      </c>
      <c r="H1082" s="23" t="s">
        <v>1086</v>
      </c>
    </row>
    <row r="1083" spans="1:8" x14ac:dyDescent="0.3">
      <c r="A1083" s="25">
        <v>1082</v>
      </c>
      <c r="B1083" s="26">
        <v>289</v>
      </c>
      <c r="C1083" s="26">
        <v>16</v>
      </c>
      <c r="D1083" s="26">
        <v>25</v>
      </c>
      <c r="E1083" s="26">
        <v>0</v>
      </c>
      <c r="F1083" s="28" t="str">
        <f>PROPER(nutrition!$H1083)</f>
        <v>Sapi Daging Kornet</v>
      </c>
      <c r="G1083" s="26" t="str">
        <f>IF(nutrition!$B1083&gt;300,"Tinggi Kalori",IF(nutrition!$B1083&gt;100,"Kalori Sedang","Rendah Kalori"))</f>
        <v>Kalori Sedang</v>
      </c>
      <c r="H1083" s="27" t="s">
        <v>1087</v>
      </c>
    </row>
    <row r="1084" spans="1:8" x14ac:dyDescent="0.3">
      <c r="A1084" s="21">
        <v>1083</v>
      </c>
      <c r="B1084" s="22">
        <v>174</v>
      </c>
      <c r="C1084" s="22">
        <v>196</v>
      </c>
      <c r="D1084" s="22">
        <v>10</v>
      </c>
      <c r="E1084" s="22">
        <v>0</v>
      </c>
      <c r="F1084" s="24" t="str">
        <f>PROPER(nutrition!$H1084)</f>
        <v>Sapi Daging Kurus Segar</v>
      </c>
      <c r="G1084" s="22" t="str">
        <f>IF(nutrition!$B1084&gt;300,"Tinggi Kalori",IF(nutrition!$B1084&gt;100,"Kalori Sedang","Rendah Kalori"))</f>
        <v>Kalori Sedang</v>
      </c>
      <c r="H1084" s="23" t="s">
        <v>1088</v>
      </c>
    </row>
    <row r="1085" spans="1:8" x14ac:dyDescent="0.3">
      <c r="A1085" s="25">
        <v>1084</v>
      </c>
      <c r="B1085" s="26">
        <v>201</v>
      </c>
      <c r="C1085" s="26">
        <v>188</v>
      </c>
      <c r="D1085" s="26">
        <v>14</v>
      </c>
      <c r="E1085" s="26">
        <v>0</v>
      </c>
      <c r="F1085" s="28" t="str">
        <f>PROPER(nutrition!$H1085)</f>
        <v>Sapi Daging Lemak Sedang Segar</v>
      </c>
      <c r="G1085" s="26" t="str">
        <f>IF(nutrition!$B1085&gt;300,"Tinggi Kalori",IF(nutrition!$B1085&gt;100,"Kalori Sedang","Rendah Kalori"))</f>
        <v>Kalori Sedang</v>
      </c>
      <c r="H1085" s="27" t="s">
        <v>1089</v>
      </c>
    </row>
    <row r="1086" spans="1:8" x14ac:dyDescent="0.3">
      <c r="A1086" s="21">
        <v>1085</v>
      </c>
      <c r="B1086" s="22">
        <v>448</v>
      </c>
      <c r="C1086" s="22">
        <v>145</v>
      </c>
      <c r="D1086" s="22">
        <v>423</v>
      </c>
      <c r="E1086" s="22">
        <v>23</v>
      </c>
      <c r="F1086" s="24" t="str">
        <f>PROPER(nutrition!$H1086)</f>
        <v>Sapi Daging Sosis (Worst)</v>
      </c>
      <c r="G1086" s="22" t="str">
        <f>IF(nutrition!$B1086&gt;300,"Tinggi Kalori",IF(nutrition!$B1086&gt;100,"Kalori Sedang","Rendah Kalori"))</f>
        <v>Tinggi Kalori</v>
      </c>
      <c r="H1086" s="23" t="s">
        <v>1090</v>
      </c>
    </row>
    <row r="1087" spans="1:8" x14ac:dyDescent="0.3">
      <c r="A1087" s="25">
        <v>1086</v>
      </c>
      <c r="B1087" s="26">
        <v>183</v>
      </c>
      <c r="C1087" s="26">
        <v>12</v>
      </c>
      <c r="D1087" s="26">
        <v>144</v>
      </c>
      <c r="E1087" s="26">
        <v>14</v>
      </c>
      <c r="F1087" s="28" t="str">
        <f>PROPER(nutrition!$H1087)</f>
        <v>Sapi Daleman Segar</v>
      </c>
      <c r="G1087" s="26" t="str">
        <f>IF(nutrition!$B1087&gt;300,"Tinggi Kalori",IF(nutrition!$B1087&gt;100,"Kalori Sedang","Rendah Kalori"))</f>
        <v>Kalori Sedang</v>
      </c>
      <c r="H1087" s="27" t="s">
        <v>1091</v>
      </c>
    </row>
    <row r="1088" spans="1:8" x14ac:dyDescent="0.3">
      <c r="A1088" s="21">
        <v>1087</v>
      </c>
      <c r="B1088" s="22">
        <v>98</v>
      </c>
      <c r="C1088" s="22">
        <v>219</v>
      </c>
      <c r="D1088" s="22">
        <v>11</v>
      </c>
      <c r="E1088" s="22">
        <v>0</v>
      </c>
      <c r="F1088" s="24" t="str">
        <f>PROPER(nutrition!$H1088)</f>
        <v>Sapi Dideh/Darah</v>
      </c>
      <c r="G1088" s="22" t="str">
        <f>IF(nutrition!$B1088&gt;300,"Tinggi Kalori",IF(nutrition!$B1088&gt;100,"Kalori Sedang","Rendah Kalori"))</f>
        <v>Rendah Kalori</v>
      </c>
      <c r="H1088" s="23" t="s">
        <v>1092</v>
      </c>
    </row>
    <row r="1089" spans="1:8" x14ac:dyDescent="0.3">
      <c r="A1089" s="25">
        <v>1088</v>
      </c>
      <c r="B1089" s="26">
        <v>137</v>
      </c>
      <c r="C1089" s="26">
        <v>15</v>
      </c>
      <c r="D1089" s="26">
        <v>81</v>
      </c>
      <c r="E1089" s="26">
        <v>9</v>
      </c>
      <c r="F1089" s="28" t="str">
        <f>PROPER(nutrition!$H1089)</f>
        <v>Sapi Ginjal Segar</v>
      </c>
      <c r="G1089" s="26" t="str">
        <f>IF(nutrition!$B1089&gt;300,"Tinggi Kalori",IF(nutrition!$B1089&gt;100,"Kalori Sedang","Rendah Kalori"))</f>
        <v>Kalori Sedang</v>
      </c>
      <c r="H1089" s="27" t="s">
        <v>1093</v>
      </c>
    </row>
    <row r="1090" spans="1:8" x14ac:dyDescent="0.3">
      <c r="A1090" s="21">
        <v>1089</v>
      </c>
      <c r="B1090" s="22">
        <v>274</v>
      </c>
      <c r="C1090" s="22">
        <v>16</v>
      </c>
      <c r="D1090" s="22">
        <v>22</v>
      </c>
      <c r="E1090" s="22">
        <v>3</v>
      </c>
      <c r="F1090" s="24" t="str">
        <f>PROPER(nutrition!$H1090)</f>
        <v>Sapi Hati Sosis (Liverworst)</v>
      </c>
      <c r="G1090" s="22" t="str">
        <f>IF(nutrition!$B1090&gt;300,"Tinggi Kalori",IF(nutrition!$B1090&gt;100,"Kalori Sedang","Rendah Kalori"))</f>
        <v>Kalori Sedang</v>
      </c>
      <c r="H1090" s="23" t="s">
        <v>1094</v>
      </c>
    </row>
    <row r="1091" spans="1:8" x14ac:dyDescent="0.3">
      <c r="A1091" s="25">
        <v>1090</v>
      </c>
      <c r="B1091" s="26">
        <v>84</v>
      </c>
      <c r="C1091" s="26">
        <v>105</v>
      </c>
      <c r="D1091" s="26">
        <v>46</v>
      </c>
      <c r="E1091" s="26">
        <v>2</v>
      </c>
      <c r="F1091" s="28" t="str">
        <f>PROPER(nutrition!$H1091)</f>
        <v>Sapi Keleponan Segar</v>
      </c>
      <c r="G1091" s="26" t="str">
        <f>IF(nutrition!$B1091&gt;300,"Tinggi Kalori",IF(nutrition!$B1091&gt;100,"Kalori Sedang","Rendah Kalori"))</f>
        <v>Rendah Kalori</v>
      </c>
      <c r="H1091" s="27" t="s">
        <v>1095</v>
      </c>
    </row>
    <row r="1092" spans="1:8" x14ac:dyDescent="0.3">
      <c r="A1092" s="21">
        <v>1091</v>
      </c>
      <c r="B1092" s="22">
        <v>132</v>
      </c>
      <c r="C1092" s="22">
        <v>197</v>
      </c>
      <c r="D1092" s="22">
        <v>32</v>
      </c>
      <c r="E1092" s="22">
        <v>6</v>
      </c>
      <c r="F1092" s="24" t="str">
        <f>PROPER(nutrition!$H1092)</f>
        <v>Sapi Liver Segar</v>
      </c>
      <c r="G1092" s="22" t="str">
        <f>IF(nutrition!$B1092&gt;300,"Tinggi Kalori",IF(nutrition!$B1092&gt;100,"Kalori Sedang","Rendah Kalori"))</f>
        <v>Kalori Sedang</v>
      </c>
      <c r="H1092" s="23" t="s">
        <v>1096</v>
      </c>
    </row>
    <row r="1093" spans="1:8" x14ac:dyDescent="0.3">
      <c r="A1093" s="25">
        <v>1092</v>
      </c>
      <c r="B1093" s="26">
        <v>123</v>
      </c>
      <c r="C1093" s="26">
        <v>104</v>
      </c>
      <c r="D1093" s="26">
        <v>86</v>
      </c>
      <c r="E1093" s="26">
        <v>8</v>
      </c>
      <c r="F1093" s="28" t="str">
        <f>PROPER(nutrition!$H1093)</f>
        <v>Sapi Otak Segar</v>
      </c>
      <c r="G1093" s="26" t="str">
        <f>IF(nutrition!$B1093&gt;300,"Tinggi Kalori",IF(nutrition!$B1093&gt;100,"Kalori Sedang","Rendah Kalori"))</f>
        <v>Kalori Sedang</v>
      </c>
      <c r="H1093" s="27" t="s">
        <v>1097</v>
      </c>
    </row>
    <row r="1094" spans="1:8" x14ac:dyDescent="0.3">
      <c r="A1094" s="21">
        <v>1093</v>
      </c>
      <c r="B1094" s="22">
        <v>360</v>
      </c>
      <c r="C1094" s="22">
        <v>573</v>
      </c>
      <c r="D1094" s="22">
        <v>6</v>
      </c>
      <c r="E1094" s="22">
        <v>192</v>
      </c>
      <c r="F1094" s="24" t="str">
        <f>PROPER(nutrition!$H1094)</f>
        <v>Sapi Paru Dendeng Mentah</v>
      </c>
      <c r="G1094" s="22" t="str">
        <f>IF(nutrition!$B1094&gt;300,"Tinggi Kalori",IF(nutrition!$B1094&gt;100,"Kalori Sedang","Rendah Kalori"))</f>
        <v>Tinggi Kalori</v>
      </c>
      <c r="H1094" s="23" t="s">
        <v>1098</v>
      </c>
    </row>
    <row r="1095" spans="1:8" x14ac:dyDescent="0.3">
      <c r="A1095" s="25">
        <v>1094</v>
      </c>
      <c r="B1095" s="26">
        <v>268</v>
      </c>
      <c r="C1095" s="26">
        <v>239</v>
      </c>
      <c r="D1095" s="26">
        <v>127</v>
      </c>
      <c r="E1095" s="26">
        <v>145</v>
      </c>
      <c r="F1095" s="28" t="str">
        <f>PROPER(nutrition!$H1095)</f>
        <v>Sapi Paru Goreng</v>
      </c>
      <c r="G1095" s="26" t="str">
        <f>IF(nutrition!$B1095&gt;300,"Tinggi Kalori",IF(nutrition!$B1095&gt;100,"Kalori Sedang","Rendah Kalori"))</f>
        <v>Kalori Sedang</v>
      </c>
      <c r="H1095" s="27" t="s">
        <v>1099</v>
      </c>
    </row>
    <row r="1096" spans="1:8" x14ac:dyDescent="0.3">
      <c r="A1096" s="21">
        <v>1095</v>
      </c>
      <c r="B1096" s="22">
        <v>126</v>
      </c>
      <c r="C1096" s="22">
        <v>14</v>
      </c>
      <c r="D1096" s="22">
        <v>72</v>
      </c>
      <c r="E1096" s="22">
        <v>15</v>
      </c>
      <c r="F1096" s="24" t="str">
        <f>PROPER(nutrition!$H1096)</f>
        <v>Sapi Usus Segar</v>
      </c>
      <c r="G1096" s="22" t="str">
        <f>IF(nutrition!$B1096&gt;300,"Tinggi Kalori",IF(nutrition!$B1096&gt;100,"Kalori Sedang","Rendah Kalori"))</f>
        <v>Kalori Sedang</v>
      </c>
      <c r="H1096" s="23" t="s">
        <v>1100</v>
      </c>
    </row>
    <row r="1097" spans="1:8" x14ac:dyDescent="0.3">
      <c r="A1097" s="25">
        <v>1096</v>
      </c>
      <c r="B1097" s="26">
        <v>281</v>
      </c>
      <c r="C1097" s="26">
        <v>375</v>
      </c>
      <c r="D1097" s="26">
        <v>3</v>
      </c>
      <c r="E1097" s="26">
        <v>321</v>
      </c>
      <c r="F1097" s="28" t="str">
        <f>PROPER(nutrition!$H1097)</f>
        <v>Sarang Burung</v>
      </c>
      <c r="G1097" s="26" t="str">
        <f>IF(nutrition!$B1097&gt;300,"Tinggi Kalori",IF(nutrition!$B1097&gt;100,"Kalori Sedang","Rendah Kalori"))</f>
        <v>Kalori Sedang</v>
      </c>
      <c r="H1097" s="27" t="s">
        <v>1101</v>
      </c>
    </row>
    <row r="1098" spans="1:8" x14ac:dyDescent="0.3">
      <c r="A1098" s="21">
        <v>1097</v>
      </c>
      <c r="B1098" s="22">
        <v>338</v>
      </c>
      <c r="C1098" s="22">
        <v>211</v>
      </c>
      <c r="D1098" s="22">
        <v>27</v>
      </c>
      <c r="E1098" s="22">
        <v>1</v>
      </c>
      <c r="F1098" s="24" t="str">
        <f>PROPER(nutrition!$H1098)</f>
        <v>Sardines Dalam Kaleng</v>
      </c>
      <c r="G1098" s="22" t="str">
        <f>IF(nutrition!$B1098&gt;300,"Tinggi Kalori",IF(nutrition!$B1098&gt;100,"Kalori Sedang","Rendah Kalori"))</f>
        <v>Tinggi Kalori</v>
      </c>
      <c r="H1098" s="23" t="s">
        <v>1102</v>
      </c>
    </row>
    <row r="1099" spans="1:8" x14ac:dyDescent="0.3">
      <c r="A1099" s="25">
        <v>1098</v>
      </c>
      <c r="B1099" s="26">
        <v>344</v>
      </c>
      <c r="C1099" s="26">
        <v>30</v>
      </c>
      <c r="D1099" s="26">
        <v>20</v>
      </c>
      <c r="E1099" s="26">
        <v>43</v>
      </c>
      <c r="F1099" s="28" t="str">
        <f>PROPER(nutrition!$H1099)</f>
        <v>Sari Kedelai Bubuk</v>
      </c>
      <c r="G1099" s="26" t="str">
        <f>IF(nutrition!$B1099&gt;300,"Tinggi Kalori",IF(nutrition!$B1099&gt;100,"Kalori Sedang","Rendah Kalori"))</f>
        <v>Tinggi Kalori</v>
      </c>
      <c r="H1099" s="27" t="s">
        <v>1103</v>
      </c>
    </row>
    <row r="1100" spans="1:8" x14ac:dyDescent="0.3">
      <c r="A1100" s="21">
        <v>1099</v>
      </c>
      <c r="B1100" s="22">
        <v>166</v>
      </c>
      <c r="C1100" s="22">
        <v>23</v>
      </c>
      <c r="D1100" s="22">
        <v>28</v>
      </c>
      <c r="E1100" s="22">
        <v>329</v>
      </c>
      <c r="F1100" s="24" t="str">
        <f>PROPER(nutrition!$H1100)</f>
        <v>Sarimuka</v>
      </c>
      <c r="G1100" s="22" t="str">
        <f>IF(nutrition!$B1100&gt;300,"Tinggi Kalori",IF(nutrition!$B1100&gt;100,"Kalori Sedang","Rendah Kalori"))</f>
        <v>Kalori Sedang</v>
      </c>
      <c r="H1100" s="23" t="s">
        <v>1104</v>
      </c>
    </row>
    <row r="1101" spans="1:8" x14ac:dyDescent="0.3">
      <c r="A1101" s="25">
        <v>1100</v>
      </c>
      <c r="B1101" s="26">
        <v>283</v>
      </c>
      <c r="C1101" s="26">
        <v>121</v>
      </c>
      <c r="D1101" s="26">
        <v>168</v>
      </c>
      <c r="E1101" s="26">
        <v>209</v>
      </c>
      <c r="F1101" s="28" t="str">
        <f>PROPER(nutrition!$H1101)</f>
        <v>Sate Bandeng</v>
      </c>
      <c r="G1101" s="26" t="str">
        <f>IF(nutrition!$B1101&gt;300,"Tinggi Kalori",IF(nutrition!$B1101&gt;100,"Kalori Sedang","Rendah Kalori"))</f>
        <v>Kalori Sedang</v>
      </c>
      <c r="H1101" s="27" t="s">
        <v>1105</v>
      </c>
    </row>
    <row r="1102" spans="1:8" x14ac:dyDescent="0.3">
      <c r="A1102" s="21">
        <v>1101</v>
      </c>
      <c r="B1102" s="22">
        <v>110</v>
      </c>
      <c r="C1102" s="22">
        <v>155</v>
      </c>
      <c r="D1102" s="22">
        <v>5</v>
      </c>
      <c r="E1102" s="22">
        <v>115</v>
      </c>
      <c r="F1102" s="24" t="str">
        <f>PROPER(nutrition!$H1102)</f>
        <v xml:space="preserve">Sate Kulit </v>
      </c>
      <c r="G1102" s="22" t="str">
        <f>IF(nutrition!$B1102&gt;300,"Tinggi Kalori",IF(nutrition!$B1102&gt;100,"Kalori Sedang","Rendah Kalori"))</f>
        <v>Kalori Sedang</v>
      </c>
      <c r="H1102" s="23" t="s">
        <v>1106</v>
      </c>
    </row>
    <row r="1103" spans="1:8" x14ac:dyDescent="0.3">
      <c r="A1103" s="25">
        <v>1102</v>
      </c>
      <c r="B1103" s="26">
        <v>179</v>
      </c>
      <c r="C1103" s="26">
        <v>225</v>
      </c>
      <c r="D1103" s="26">
        <v>35</v>
      </c>
      <c r="E1103" s="26">
        <v>133</v>
      </c>
      <c r="F1103" s="28" t="str">
        <f>PROPER(nutrition!$H1103)</f>
        <v>Sate Penyu Masakan</v>
      </c>
      <c r="G1103" s="26" t="str">
        <f>IF(nutrition!$B1103&gt;300,"Tinggi Kalori",IF(nutrition!$B1103&gt;100,"Kalori Sedang","Rendah Kalori"))</f>
        <v>Kalori Sedang</v>
      </c>
      <c r="H1103" s="27" t="s">
        <v>1107</v>
      </c>
    </row>
    <row r="1104" spans="1:8" x14ac:dyDescent="0.3">
      <c r="A1104" s="21">
        <v>1103</v>
      </c>
      <c r="B1104" s="22">
        <v>274</v>
      </c>
      <c r="C1104" s="22">
        <v>129</v>
      </c>
      <c r="D1104" s="22">
        <v>186</v>
      </c>
      <c r="E1104" s="22">
        <v>136</v>
      </c>
      <c r="F1104" s="24" t="str">
        <f>PROPER(nutrition!$H1104)</f>
        <v>Sate Pusut Masakan</v>
      </c>
      <c r="G1104" s="22" t="str">
        <f>IF(nutrition!$B1104&gt;300,"Tinggi Kalori",IF(nutrition!$B1104&gt;100,"Kalori Sedang","Rendah Kalori"))</f>
        <v>Kalori Sedang</v>
      </c>
      <c r="H1104" s="23" t="s">
        <v>1108</v>
      </c>
    </row>
    <row r="1105" spans="1:8" x14ac:dyDescent="0.3">
      <c r="A1105" s="25">
        <v>1104</v>
      </c>
      <c r="B1105" s="26">
        <v>1267</v>
      </c>
      <c r="C1105" s="26">
        <v>14</v>
      </c>
      <c r="D1105" s="26">
        <v>73</v>
      </c>
      <c r="E1105" s="26">
        <v>13</v>
      </c>
      <c r="F1105" s="28" t="str">
        <f>PROPER(nutrition!$H1105)</f>
        <v xml:space="preserve">Sate Usus </v>
      </c>
      <c r="G1105" s="26" t="str">
        <f>IF(nutrition!$B1105&gt;300,"Tinggi Kalori",IF(nutrition!$B1105&gt;100,"Kalori Sedang","Rendah Kalori"))</f>
        <v>Tinggi Kalori</v>
      </c>
      <c r="H1105" s="27" t="s">
        <v>1109</v>
      </c>
    </row>
    <row r="1106" spans="1:8" x14ac:dyDescent="0.3">
      <c r="A1106" s="21">
        <v>1105</v>
      </c>
      <c r="B1106" s="22">
        <v>22</v>
      </c>
      <c r="C1106" s="22">
        <v>23</v>
      </c>
      <c r="D1106" s="22">
        <v>3</v>
      </c>
      <c r="E1106" s="22">
        <v>4</v>
      </c>
      <c r="F1106" s="24" t="str">
        <f>PROPER(nutrition!$H1106)</f>
        <v>Sawi</v>
      </c>
      <c r="G1106" s="22" t="str">
        <f>IF(nutrition!$B1106&gt;300,"Tinggi Kalori",IF(nutrition!$B1106&gt;100,"Kalori Sedang","Rendah Kalori"))</f>
        <v>Rendah Kalori</v>
      </c>
      <c r="H1106" s="23" t="s">
        <v>1110</v>
      </c>
    </row>
    <row r="1107" spans="1:8" x14ac:dyDescent="0.3">
      <c r="A1107" s="25">
        <v>1106</v>
      </c>
      <c r="B1107" s="26">
        <v>9</v>
      </c>
      <c r="C1107" s="26">
        <v>1</v>
      </c>
      <c r="D1107" s="26">
        <v>1</v>
      </c>
      <c r="E1107" s="26">
        <v>17</v>
      </c>
      <c r="F1107" s="28" t="str">
        <f>PROPER(nutrition!$H1107)</f>
        <v>Sawi Putih / Pecai Segar</v>
      </c>
      <c r="G1107" s="26" t="str">
        <f>IF(nutrition!$B1107&gt;300,"Tinggi Kalori",IF(nutrition!$B1107&gt;100,"Kalori Sedang","Rendah Kalori"))</f>
        <v>Rendah Kalori</v>
      </c>
      <c r="H1107" s="27" t="s">
        <v>1111</v>
      </c>
    </row>
    <row r="1108" spans="1:8" x14ac:dyDescent="0.3">
      <c r="A1108" s="21">
        <v>1107</v>
      </c>
      <c r="B1108" s="22">
        <v>30</v>
      </c>
      <c r="C1108" s="22">
        <v>19</v>
      </c>
      <c r="D1108" s="22">
        <v>5</v>
      </c>
      <c r="E1108" s="22">
        <v>44</v>
      </c>
      <c r="F1108" s="24" t="str">
        <f>PROPER(nutrition!$H1108)</f>
        <v>Sawi Taiwan Segar</v>
      </c>
      <c r="G1108" s="22" t="str">
        <f>IF(nutrition!$B1108&gt;300,"Tinggi Kalori",IF(nutrition!$B1108&gt;100,"Kalori Sedang","Rendah Kalori"))</f>
        <v>Rendah Kalori</v>
      </c>
      <c r="H1108" s="23" t="s">
        <v>1112</v>
      </c>
    </row>
    <row r="1109" spans="1:8" x14ac:dyDescent="0.3">
      <c r="A1109" s="25">
        <v>1108</v>
      </c>
      <c r="B1109" s="26">
        <v>19</v>
      </c>
      <c r="C1109" s="26">
        <v>13</v>
      </c>
      <c r="D1109" s="26">
        <v>2</v>
      </c>
      <c r="E1109" s="26">
        <v>29</v>
      </c>
      <c r="F1109" s="28" t="str">
        <f>PROPER(nutrition!$H1109)</f>
        <v>Sawi Tanah Segar</v>
      </c>
      <c r="G1109" s="26" t="str">
        <f>IF(nutrition!$B1109&gt;300,"Tinggi Kalori",IF(nutrition!$B1109&gt;100,"Kalori Sedang","Rendah Kalori"))</f>
        <v>Rendah Kalori</v>
      </c>
      <c r="H1109" s="27" t="s">
        <v>1113</v>
      </c>
    </row>
    <row r="1110" spans="1:8" x14ac:dyDescent="0.3">
      <c r="A1110" s="21">
        <v>1109</v>
      </c>
      <c r="B1110" s="22">
        <v>92</v>
      </c>
      <c r="C1110" s="22">
        <v>5</v>
      </c>
      <c r="D1110" s="22">
        <v>11</v>
      </c>
      <c r="E1110" s="22">
        <v>224</v>
      </c>
      <c r="F1110" s="24" t="str">
        <f>PROPER(nutrition!$H1110)</f>
        <v>Sawo</v>
      </c>
      <c r="G1110" s="22" t="str">
        <f>IF(nutrition!$B1110&gt;300,"Tinggi Kalori",IF(nutrition!$B1110&gt;100,"Kalori Sedang","Rendah Kalori"))</f>
        <v>Rendah Kalori</v>
      </c>
      <c r="H1110" s="23" t="s">
        <v>1114</v>
      </c>
    </row>
    <row r="1111" spans="1:8" x14ac:dyDescent="0.3">
      <c r="A1111" s="25">
        <v>1110</v>
      </c>
      <c r="B1111" s="26">
        <v>64</v>
      </c>
      <c r="C1111" s="26">
        <v>1</v>
      </c>
      <c r="D1111" s="26">
        <v>31</v>
      </c>
      <c r="E1111" s="26">
        <v>8</v>
      </c>
      <c r="F1111" s="28" t="str">
        <f>PROPER(nutrition!$H1111)</f>
        <v>Sawo Duren Segar</v>
      </c>
      <c r="G1111" s="26" t="str">
        <f>IF(nutrition!$B1111&gt;300,"Tinggi Kalori",IF(nutrition!$B1111&gt;100,"Kalori Sedang","Rendah Kalori"))</f>
        <v>Rendah Kalori</v>
      </c>
      <c r="H1111" s="27" t="s">
        <v>1115</v>
      </c>
    </row>
    <row r="1112" spans="1:8" x14ac:dyDescent="0.3">
      <c r="A1112" s="21">
        <v>1111</v>
      </c>
      <c r="B1112" s="22">
        <v>111</v>
      </c>
      <c r="C1112" s="22">
        <v>9</v>
      </c>
      <c r="D1112" s="22">
        <v>23</v>
      </c>
      <c r="E1112" s="22">
        <v>216</v>
      </c>
      <c r="F1112" s="24" t="str">
        <f>PROPER(nutrition!$H1112)</f>
        <v>Sawo Kecik Segar</v>
      </c>
      <c r="G1112" s="22" t="str">
        <f>IF(nutrition!$B1112&gt;300,"Tinggi Kalori",IF(nutrition!$B1112&gt;100,"Kalori Sedang","Rendah Kalori"))</f>
        <v>Kalori Sedang</v>
      </c>
      <c r="H1112" s="23" t="s">
        <v>1116</v>
      </c>
    </row>
    <row r="1113" spans="1:8" x14ac:dyDescent="0.3">
      <c r="A1113" s="25">
        <v>1112</v>
      </c>
      <c r="B1113" s="26">
        <v>92</v>
      </c>
      <c r="C1113" s="26">
        <v>5</v>
      </c>
      <c r="D1113" s="26">
        <v>11</v>
      </c>
      <c r="E1113" s="26">
        <v>224</v>
      </c>
      <c r="F1113" s="28" t="str">
        <f>PROPER(nutrition!$H1113)</f>
        <v>Sawo Manila Segar</v>
      </c>
      <c r="G1113" s="26" t="str">
        <f>IF(nutrition!$B1113&gt;300,"Tinggi Kalori",IF(nutrition!$B1113&gt;100,"Kalori Sedang","Rendah Kalori"))</f>
        <v>Rendah Kalori</v>
      </c>
      <c r="H1113" s="27" t="s">
        <v>1117</v>
      </c>
    </row>
    <row r="1114" spans="1:8" x14ac:dyDescent="0.3">
      <c r="A1114" s="21">
        <v>1113</v>
      </c>
      <c r="B1114" s="22">
        <v>29</v>
      </c>
      <c r="C1114" s="22">
        <v>7</v>
      </c>
      <c r="D1114" s="22">
        <v>6</v>
      </c>
      <c r="E1114" s="22">
        <v>5</v>
      </c>
      <c r="F1114" s="24" t="str">
        <f>PROPER(nutrition!$H1114)</f>
        <v>Sayur Asem</v>
      </c>
      <c r="G1114" s="22" t="str">
        <f>IF(nutrition!$B1114&gt;300,"Tinggi Kalori",IF(nutrition!$B1114&gt;100,"Kalori Sedang","Rendah Kalori"))</f>
        <v>Rendah Kalori</v>
      </c>
      <c r="H1114" s="23" t="s">
        <v>1118</v>
      </c>
    </row>
    <row r="1115" spans="1:8" x14ac:dyDescent="0.3">
      <c r="A1115" s="25">
        <v>1114</v>
      </c>
      <c r="B1115" s="26">
        <v>49</v>
      </c>
      <c r="C1115" s="26">
        <v>17</v>
      </c>
      <c r="D1115" s="26">
        <v>3</v>
      </c>
      <c r="E1115" s="26">
        <v>98</v>
      </c>
      <c r="F1115" s="28" t="str">
        <f>PROPER(nutrition!$H1115)</f>
        <v>Sayur Bunga Pepaya</v>
      </c>
      <c r="G1115" s="26" t="str">
        <f>IF(nutrition!$B1115&gt;300,"Tinggi Kalori",IF(nutrition!$B1115&gt;100,"Kalori Sedang","Rendah Kalori"))</f>
        <v>Rendah Kalori</v>
      </c>
      <c r="H1115" s="27" t="s">
        <v>1119</v>
      </c>
    </row>
    <row r="1116" spans="1:8" x14ac:dyDescent="0.3">
      <c r="A1116" s="21">
        <v>1115</v>
      </c>
      <c r="B1116" s="22">
        <v>178</v>
      </c>
      <c r="C1116" s="22">
        <v>26</v>
      </c>
      <c r="D1116" s="22">
        <v>139</v>
      </c>
      <c r="E1116" s="22">
        <v>106</v>
      </c>
      <c r="F1116" s="24" t="str">
        <f>PROPER(nutrition!$H1116)</f>
        <v>Sayur Garu</v>
      </c>
      <c r="G1116" s="22" t="str">
        <f>IF(nutrition!$B1116&gt;300,"Tinggi Kalori",IF(nutrition!$B1116&gt;100,"Kalori Sedang","Rendah Kalori"))</f>
        <v>Kalori Sedang</v>
      </c>
      <c r="H1116" s="23" t="s">
        <v>1120</v>
      </c>
    </row>
    <row r="1117" spans="1:8" x14ac:dyDescent="0.3">
      <c r="A1117" s="25">
        <v>1116</v>
      </c>
      <c r="B1117" s="26">
        <v>133</v>
      </c>
      <c r="C1117" s="26">
        <v>73</v>
      </c>
      <c r="D1117" s="26">
        <v>66</v>
      </c>
      <c r="E1117" s="26">
        <v>112</v>
      </c>
      <c r="F1117" s="28" t="str">
        <f>PROPER(nutrition!$H1117)</f>
        <v>Sayur Kohu-Kohu</v>
      </c>
      <c r="G1117" s="26" t="str">
        <f>IF(nutrition!$B1117&gt;300,"Tinggi Kalori",IF(nutrition!$B1117&gt;100,"Kalori Sedang","Rendah Kalori"))</f>
        <v>Kalori Sedang</v>
      </c>
      <c r="H1117" s="27" t="s">
        <v>1121</v>
      </c>
    </row>
    <row r="1118" spans="1:8" x14ac:dyDescent="0.3">
      <c r="A1118" s="21">
        <v>1117</v>
      </c>
      <c r="B1118" s="22">
        <v>64</v>
      </c>
      <c r="C1118" s="22">
        <v>21</v>
      </c>
      <c r="D1118" s="22">
        <v>6</v>
      </c>
      <c r="E1118" s="22">
        <v>125</v>
      </c>
      <c r="F1118" s="24" t="str">
        <f>PROPER(nutrition!$H1118)</f>
        <v>Sayur Lebui</v>
      </c>
      <c r="G1118" s="22" t="str">
        <f>IF(nutrition!$B1118&gt;300,"Tinggi Kalori",IF(nutrition!$B1118&gt;100,"Kalori Sedang","Rendah Kalori"))</f>
        <v>Rendah Kalori</v>
      </c>
      <c r="H1118" s="23" t="s">
        <v>1122</v>
      </c>
    </row>
    <row r="1119" spans="1:8" x14ac:dyDescent="0.3">
      <c r="A1119" s="25">
        <v>1118</v>
      </c>
      <c r="B1119" s="26">
        <v>36</v>
      </c>
      <c r="C1119" s="26">
        <v>27</v>
      </c>
      <c r="D1119" s="26">
        <v>7</v>
      </c>
      <c r="E1119" s="26">
        <v>48</v>
      </c>
      <c r="F1119" s="28" t="str">
        <f>PROPER(nutrition!$H1119)</f>
        <v>Sayur Lilin-Terubuk</v>
      </c>
      <c r="G1119" s="26" t="str">
        <f>IF(nutrition!$B1119&gt;300,"Tinggi Kalori",IF(nutrition!$B1119&gt;100,"Kalori Sedang","Rendah Kalori"))</f>
        <v>Rendah Kalori</v>
      </c>
      <c r="H1119" s="27" t="s">
        <v>1123</v>
      </c>
    </row>
    <row r="1120" spans="1:8" x14ac:dyDescent="0.3">
      <c r="A1120" s="21">
        <v>1119</v>
      </c>
      <c r="B1120" s="22">
        <v>49</v>
      </c>
      <c r="C1120" s="22">
        <v>31</v>
      </c>
      <c r="D1120" s="22">
        <v>25</v>
      </c>
      <c r="E1120" s="22">
        <v>36</v>
      </c>
      <c r="F1120" s="24" t="str">
        <f>PROPER(nutrition!$H1120)</f>
        <v>Sayur Ndusuk</v>
      </c>
      <c r="G1120" s="22" t="str">
        <f>IF(nutrition!$B1120&gt;300,"Tinggi Kalori",IF(nutrition!$B1120&gt;100,"Kalori Sedang","Rendah Kalori"))</f>
        <v>Rendah Kalori</v>
      </c>
      <c r="H1120" s="23" t="s">
        <v>1124</v>
      </c>
    </row>
    <row r="1121" spans="1:8" x14ac:dyDescent="0.3">
      <c r="A1121" s="25">
        <v>1120</v>
      </c>
      <c r="B1121" s="26">
        <v>27</v>
      </c>
      <c r="C1121" s="26">
        <v>13</v>
      </c>
      <c r="D1121" s="26">
        <v>2</v>
      </c>
      <c r="E1121" s="26">
        <v>1</v>
      </c>
      <c r="F1121" s="28" t="str">
        <f>PROPER(nutrition!$H1121)</f>
        <v>Sayur Sop</v>
      </c>
      <c r="G1121" s="26" t="str">
        <f>IF(nutrition!$B1121&gt;300,"Tinggi Kalori",IF(nutrition!$B1121&gt;100,"Kalori Sedang","Rendah Kalori"))</f>
        <v>Rendah Kalori</v>
      </c>
      <c r="H1121" s="27" t="s">
        <v>1125</v>
      </c>
    </row>
    <row r="1122" spans="1:8" x14ac:dyDescent="0.3">
      <c r="A1122" s="21">
        <v>1121</v>
      </c>
      <c r="B1122" s="22">
        <v>67</v>
      </c>
      <c r="C1122" s="22">
        <v>52</v>
      </c>
      <c r="D1122" s="22">
        <v>29</v>
      </c>
      <c r="E1122" s="22">
        <v>51</v>
      </c>
      <c r="F1122" s="24" t="str">
        <f>PROPER(nutrition!$H1122)</f>
        <v>Sayur Umbut Kelapa</v>
      </c>
      <c r="G1122" s="22" t="str">
        <f>IF(nutrition!$B1122&gt;300,"Tinggi Kalori",IF(nutrition!$B1122&gt;100,"Kalori Sedang","Rendah Kalori"))</f>
        <v>Rendah Kalori</v>
      </c>
      <c r="H1122" s="23" t="s">
        <v>1126</v>
      </c>
    </row>
    <row r="1123" spans="1:8" x14ac:dyDescent="0.3">
      <c r="A1123" s="25">
        <v>1122</v>
      </c>
      <c r="B1123" s="26">
        <v>57</v>
      </c>
      <c r="C1123" s="26">
        <v>54</v>
      </c>
      <c r="D1123" s="26">
        <v>26</v>
      </c>
      <c r="E1123" s="26">
        <v>31</v>
      </c>
      <c r="F1123" s="28" t="str">
        <f>PROPER(nutrition!$H1123)</f>
        <v>Sayur Umbut Rotan</v>
      </c>
      <c r="G1123" s="26" t="str">
        <f>IF(nutrition!$B1123&gt;300,"Tinggi Kalori",IF(nutrition!$B1123&gt;100,"Kalori Sedang","Rendah Kalori"))</f>
        <v>Rendah Kalori</v>
      </c>
      <c r="H1123" s="27" t="s">
        <v>1127</v>
      </c>
    </row>
    <row r="1124" spans="1:8" x14ac:dyDescent="0.3">
      <c r="A1124" s="21">
        <v>1123</v>
      </c>
      <c r="B1124" s="22">
        <v>15</v>
      </c>
      <c r="C1124" s="22">
        <v>12</v>
      </c>
      <c r="D1124" s="22">
        <v>2</v>
      </c>
      <c r="E1124" s="22">
        <v>29</v>
      </c>
      <c r="F1124" s="24" t="str">
        <f>PROPER(nutrition!$H1124)</f>
        <v>Selada</v>
      </c>
      <c r="G1124" s="22" t="str">
        <f>IF(nutrition!$B1124&gt;300,"Tinggi Kalori",IF(nutrition!$B1124&gt;100,"Kalori Sedang","Rendah Kalori"))</f>
        <v>Rendah Kalori</v>
      </c>
      <c r="H1124" s="23" t="s">
        <v>1128</v>
      </c>
    </row>
    <row r="1125" spans="1:8" x14ac:dyDescent="0.3">
      <c r="A1125" s="25">
        <v>1124</v>
      </c>
      <c r="B1125" s="26">
        <v>17</v>
      </c>
      <c r="C1125" s="26">
        <v>17</v>
      </c>
      <c r="D1125" s="26">
        <v>3</v>
      </c>
      <c r="E1125" s="26">
        <v>3</v>
      </c>
      <c r="F1125" s="28" t="str">
        <f>PROPER(nutrition!$H1125)</f>
        <v>Selada Air</v>
      </c>
      <c r="G1125" s="26" t="str">
        <f>IF(nutrition!$B1125&gt;300,"Tinggi Kalori",IF(nutrition!$B1125&gt;100,"Kalori Sedang","Rendah Kalori"))</f>
        <v>Rendah Kalori</v>
      </c>
      <c r="H1125" s="27" t="s">
        <v>1129</v>
      </c>
    </row>
    <row r="1126" spans="1:8" x14ac:dyDescent="0.3">
      <c r="A1126" s="21">
        <v>1125</v>
      </c>
      <c r="B1126" s="22">
        <v>19</v>
      </c>
      <c r="C1126" s="22">
        <v>27</v>
      </c>
      <c r="D1126" s="22">
        <v>2</v>
      </c>
      <c r="E1126" s="22">
        <v>29</v>
      </c>
      <c r="F1126" s="24" t="str">
        <f>PROPER(nutrition!$H1126)</f>
        <v>Selada Air Rebus</v>
      </c>
      <c r="G1126" s="22" t="str">
        <f>IF(nutrition!$B1126&gt;300,"Tinggi Kalori",IF(nutrition!$B1126&gt;100,"Kalori Sedang","Rendah Kalori"))</f>
        <v>Rendah Kalori</v>
      </c>
      <c r="H1126" s="23" t="s">
        <v>1130</v>
      </c>
    </row>
    <row r="1127" spans="1:8" x14ac:dyDescent="0.3">
      <c r="A1127" s="25">
        <v>1126</v>
      </c>
      <c r="B1127" s="26">
        <v>20</v>
      </c>
      <c r="C1127" s="26">
        <v>1</v>
      </c>
      <c r="D1127" s="26">
        <v>1</v>
      </c>
      <c r="E1127" s="26">
        <v>46</v>
      </c>
      <c r="F1127" s="28" t="str">
        <f>PROPER(nutrition!$H1127)</f>
        <v>Seledri</v>
      </c>
      <c r="G1127" s="26" t="str">
        <f>IF(nutrition!$B1127&gt;300,"Tinggi Kalori",IF(nutrition!$B1127&gt;100,"Kalori Sedang","Rendah Kalori"))</f>
        <v>Rendah Kalori</v>
      </c>
      <c r="H1127" s="27" t="s">
        <v>1131</v>
      </c>
    </row>
    <row r="1128" spans="1:8" x14ac:dyDescent="0.3">
      <c r="A1128" s="21">
        <v>1127</v>
      </c>
      <c r="B1128" s="22">
        <v>28</v>
      </c>
      <c r="C1128" s="22">
        <v>5</v>
      </c>
      <c r="D1128" s="22">
        <v>2</v>
      </c>
      <c r="E1128" s="22">
        <v>69</v>
      </c>
      <c r="F1128" s="24" t="str">
        <f>PROPER(nutrition!$H1128)</f>
        <v>Semangka</v>
      </c>
      <c r="G1128" s="22" t="str">
        <f>IF(nutrition!$B1128&gt;300,"Tinggi Kalori",IF(nutrition!$B1128&gt;100,"Kalori Sedang","Rendah Kalori"))</f>
        <v>Rendah Kalori</v>
      </c>
      <c r="H1128" s="23" t="s">
        <v>1132</v>
      </c>
    </row>
    <row r="1129" spans="1:8" x14ac:dyDescent="0.3">
      <c r="A1129" s="25">
        <v>1128</v>
      </c>
      <c r="B1129" s="26">
        <v>1925</v>
      </c>
      <c r="C1129" s="26">
        <v>45</v>
      </c>
      <c r="D1129" s="26">
        <v>6</v>
      </c>
      <c r="E1129" s="26">
        <v>303</v>
      </c>
      <c r="F1129" s="28" t="str">
        <f>PROPER(nutrition!$H1129)</f>
        <v xml:space="preserve">Semur Jengkol </v>
      </c>
      <c r="G1129" s="26" t="str">
        <f>IF(nutrition!$B1129&gt;300,"Tinggi Kalori",IF(nutrition!$B1129&gt;100,"Kalori Sedang","Rendah Kalori"))</f>
        <v>Tinggi Kalori</v>
      </c>
      <c r="H1129" s="27" t="s">
        <v>1133</v>
      </c>
    </row>
    <row r="1130" spans="1:8" x14ac:dyDescent="0.3">
      <c r="A1130" s="21">
        <v>1129</v>
      </c>
      <c r="B1130" s="22">
        <v>64</v>
      </c>
      <c r="C1130" s="22">
        <v>6</v>
      </c>
      <c r="D1130" s="22">
        <v>3</v>
      </c>
      <c r="E1130" s="22">
        <v>148</v>
      </c>
      <c r="F1130" s="24" t="str">
        <f>PROPER(nutrition!$H1130)</f>
        <v>Sente</v>
      </c>
      <c r="G1130" s="22" t="str">
        <f>IF(nutrition!$B1130&gt;300,"Tinggi Kalori",IF(nutrition!$B1130&gt;100,"Kalori Sedang","Rendah Kalori"))</f>
        <v>Rendah Kalori</v>
      </c>
      <c r="H1130" s="23" t="s">
        <v>1134</v>
      </c>
    </row>
    <row r="1131" spans="1:8" x14ac:dyDescent="0.3">
      <c r="A1131" s="25">
        <v>1130</v>
      </c>
      <c r="B1131" s="26">
        <v>353</v>
      </c>
      <c r="C1131" s="26">
        <v>7</v>
      </c>
      <c r="D1131" s="26">
        <v>2</v>
      </c>
      <c r="E1131" s="26">
        <v>847</v>
      </c>
      <c r="F1131" s="28" t="str">
        <f>PROPER(nutrition!$H1131)</f>
        <v>Sente Talas Segar</v>
      </c>
      <c r="G1131" s="26" t="str">
        <f>IF(nutrition!$B1131&gt;300,"Tinggi Kalori",IF(nutrition!$B1131&gt;100,"Kalori Sedang","Rendah Kalori"))</f>
        <v>Tinggi Kalori</v>
      </c>
      <c r="H1131" s="27" t="s">
        <v>1135</v>
      </c>
    </row>
    <row r="1132" spans="1:8" x14ac:dyDescent="0.3">
      <c r="A1132" s="21">
        <v>1131</v>
      </c>
      <c r="B1132" s="22">
        <v>88</v>
      </c>
      <c r="C1132" s="22">
        <v>79</v>
      </c>
      <c r="D1132" s="22">
        <v>16</v>
      </c>
      <c r="E1132" s="22">
        <v>106</v>
      </c>
      <c r="F1132" s="24" t="str">
        <f>PROPER(nutrition!$H1132)</f>
        <v>Sepi Masakan</v>
      </c>
      <c r="G1132" s="22" t="str">
        <f>IF(nutrition!$B1132&gt;300,"Tinggi Kalori",IF(nutrition!$B1132&gt;100,"Kalori Sedang","Rendah Kalori"))</f>
        <v>Rendah Kalori</v>
      </c>
      <c r="H1132" s="23" t="s">
        <v>1136</v>
      </c>
    </row>
    <row r="1133" spans="1:8" x14ac:dyDescent="0.3">
      <c r="A1133" s="25">
        <v>1132</v>
      </c>
      <c r="B1133" s="26">
        <v>298</v>
      </c>
      <c r="C1133" s="26">
        <v>8</v>
      </c>
      <c r="D1133" s="26">
        <v>238</v>
      </c>
      <c r="E1133" s="26">
        <v>489</v>
      </c>
      <c r="F1133" s="28" t="str">
        <f>PROPER(nutrition!$H1133)</f>
        <v>Serbuk Coklat</v>
      </c>
      <c r="G1133" s="26" t="str">
        <f>IF(nutrition!$B1133&gt;300,"Tinggi Kalori",IF(nutrition!$B1133&gt;100,"Kalori Sedang","Rendah Kalori"))</f>
        <v>Kalori Sedang</v>
      </c>
      <c r="H1133" s="27" t="s">
        <v>1137</v>
      </c>
    </row>
    <row r="1134" spans="1:8" x14ac:dyDescent="0.3">
      <c r="A1134" s="21">
        <v>1133</v>
      </c>
      <c r="B1134" s="22">
        <v>478</v>
      </c>
      <c r="C1134" s="22">
        <v>25</v>
      </c>
      <c r="D1134" s="22">
        <v>212</v>
      </c>
      <c r="E1134" s="22">
        <v>692</v>
      </c>
      <c r="F1134" s="24" t="str">
        <f>PROPER(nutrition!$H1134)</f>
        <v>Serimping Talas Kebumen</v>
      </c>
      <c r="G1134" s="22" t="str">
        <f>IF(nutrition!$B1134&gt;300,"Tinggi Kalori",IF(nutrition!$B1134&gt;100,"Kalori Sedang","Rendah Kalori"))</f>
        <v>Tinggi Kalori</v>
      </c>
      <c r="H1134" s="23" t="s">
        <v>1138</v>
      </c>
    </row>
    <row r="1135" spans="1:8" x14ac:dyDescent="0.3">
      <c r="A1135" s="25">
        <v>1134</v>
      </c>
      <c r="B1135" s="26">
        <v>213</v>
      </c>
      <c r="C1135" s="26">
        <v>0</v>
      </c>
      <c r="D1135" s="26">
        <v>0</v>
      </c>
      <c r="E1135" s="26">
        <v>55</v>
      </c>
      <c r="F1135" s="28" t="str">
        <f>PROPER(nutrition!$H1135)</f>
        <v>Setrup Sirup</v>
      </c>
      <c r="G1135" s="26" t="str">
        <f>IF(nutrition!$B1135&gt;300,"Tinggi Kalori",IF(nutrition!$B1135&gt;100,"Kalori Sedang","Rendah Kalori"))</f>
        <v>Kalori Sedang</v>
      </c>
      <c r="H1135" s="27" t="s">
        <v>1139</v>
      </c>
    </row>
    <row r="1136" spans="1:8" x14ac:dyDescent="0.3">
      <c r="A1136" s="21">
        <v>1135</v>
      </c>
      <c r="B1136" s="22">
        <v>88</v>
      </c>
      <c r="C1136" s="22">
        <v>32</v>
      </c>
      <c r="D1136" s="22">
        <v>8</v>
      </c>
      <c r="E1136" s="22">
        <v>8</v>
      </c>
      <c r="F1136" s="24" t="str">
        <f>PROPER(nutrition!$H1136)</f>
        <v>Shabu-Shabu</v>
      </c>
      <c r="G1136" s="22" t="str">
        <f>IF(nutrition!$B1136&gt;300,"Tinggi Kalori",IF(nutrition!$B1136&gt;100,"Kalori Sedang","Rendah Kalori"))</f>
        <v>Rendah Kalori</v>
      </c>
      <c r="H1136" s="23" t="s">
        <v>1140</v>
      </c>
    </row>
    <row r="1137" spans="1:8" x14ac:dyDescent="0.3">
      <c r="A1137" s="25">
        <v>1136</v>
      </c>
      <c r="B1137" s="26">
        <v>474</v>
      </c>
      <c r="C1137" s="26">
        <v>112</v>
      </c>
      <c r="D1137" s="26">
        <v>425</v>
      </c>
      <c r="E1137" s="26">
        <v>117</v>
      </c>
      <c r="F1137" s="28" t="str">
        <f>PROPER(nutrition!$H1137)</f>
        <v>Sie Reuboh Masakan</v>
      </c>
      <c r="G1137" s="26" t="str">
        <f>IF(nutrition!$B1137&gt;300,"Tinggi Kalori",IF(nutrition!$B1137&gt;100,"Kalori Sedang","Rendah Kalori"))</f>
        <v>Tinggi Kalori</v>
      </c>
      <c r="H1137" s="27" t="s">
        <v>1141</v>
      </c>
    </row>
    <row r="1138" spans="1:8" x14ac:dyDescent="0.3">
      <c r="A1138" s="21">
        <v>1137</v>
      </c>
      <c r="B1138" s="22">
        <v>81</v>
      </c>
      <c r="C1138" s="22">
        <v>51</v>
      </c>
      <c r="D1138" s="22">
        <v>45</v>
      </c>
      <c r="E1138" s="22">
        <v>51</v>
      </c>
      <c r="F1138" s="24" t="str">
        <f>PROPER(nutrition!$H1138)</f>
        <v>Singkah (Rotan Muda)</v>
      </c>
      <c r="G1138" s="22" t="str">
        <f>IF(nutrition!$B1138&gt;300,"Tinggi Kalori",IF(nutrition!$B1138&gt;100,"Kalori Sedang","Rendah Kalori"))</f>
        <v>Rendah Kalori</v>
      </c>
      <c r="H1138" s="23" t="s">
        <v>1142</v>
      </c>
    </row>
    <row r="1139" spans="1:8" x14ac:dyDescent="0.3">
      <c r="A1139" s="25">
        <v>1138</v>
      </c>
      <c r="B1139" s="26">
        <v>285</v>
      </c>
      <c r="C1139" s="26">
        <v>1</v>
      </c>
      <c r="D1139" s="26">
        <v>18</v>
      </c>
      <c r="E1139" s="26">
        <v>28</v>
      </c>
      <c r="F1139" s="28" t="str">
        <f>PROPER(nutrition!$H1139)</f>
        <v xml:space="preserve">Singkong Goreng </v>
      </c>
      <c r="G1139" s="26" t="str">
        <f>IF(nutrition!$B1139&gt;300,"Tinggi Kalori",IF(nutrition!$B1139&gt;100,"Kalori Sedang","Rendah Kalori"))</f>
        <v>Kalori Sedang</v>
      </c>
      <c r="H1139" s="27" t="s">
        <v>1143</v>
      </c>
    </row>
    <row r="1140" spans="1:8" x14ac:dyDescent="0.3">
      <c r="A1140" s="21">
        <v>1139</v>
      </c>
      <c r="B1140" s="22">
        <v>146</v>
      </c>
      <c r="C1140" s="22">
        <v>12</v>
      </c>
      <c r="D1140" s="22">
        <v>3</v>
      </c>
      <c r="E1140" s="22">
        <v>347</v>
      </c>
      <c r="F1140" s="24" t="str">
        <f>PROPER(nutrition!$H1140)</f>
        <v>Singkong Kukus</v>
      </c>
      <c r="G1140" s="22" t="str">
        <f>IF(nutrition!$B1140&gt;300,"Tinggi Kalori",IF(nutrition!$B1140&gt;100,"Kalori Sedang","Rendah Kalori"))</f>
        <v>Kalori Sedang</v>
      </c>
      <c r="H1140" s="23" t="s">
        <v>1144</v>
      </c>
    </row>
    <row r="1141" spans="1:8" x14ac:dyDescent="0.3">
      <c r="A1141" s="25">
        <v>1140</v>
      </c>
      <c r="B1141" s="26">
        <v>173</v>
      </c>
      <c r="C1141" s="26">
        <v>5</v>
      </c>
      <c r="D1141" s="26">
        <v>1</v>
      </c>
      <c r="E1141" s="26">
        <v>425</v>
      </c>
      <c r="F1141" s="28" t="str">
        <f>PROPER(nutrition!$H1141)</f>
        <v>Singkong Tape</v>
      </c>
      <c r="G1141" s="26" t="str">
        <f>IF(nutrition!$B1141&gt;300,"Tinggi Kalori",IF(nutrition!$B1141&gt;100,"Kalori Sedang","Rendah Kalori"))</f>
        <v>Kalori Sedang</v>
      </c>
      <c r="H1141" s="27" t="s">
        <v>1145</v>
      </c>
    </row>
    <row r="1142" spans="1:8" x14ac:dyDescent="0.3">
      <c r="A1142" s="21">
        <v>1141</v>
      </c>
      <c r="B1142" s="22">
        <v>953</v>
      </c>
      <c r="C1142" s="22">
        <v>44</v>
      </c>
      <c r="D1142" s="22">
        <v>22</v>
      </c>
      <c r="E1142" s="22">
        <v>144</v>
      </c>
      <c r="F1142" s="24" t="str">
        <f>PROPER(nutrition!$H1142)</f>
        <v xml:space="preserve">Siomay </v>
      </c>
      <c r="G1142" s="22" t="str">
        <f>IF(nutrition!$B1142&gt;300,"Tinggi Kalori",IF(nutrition!$B1142&gt;100,"Kalori Sedang","Rendah Kalori"))</f>
        <v>Tinggi Kalori</v>
      </c>
      <c r="H1142" s="23" t="s">
        <v>1146</v>
      </c>
    </row>
    <row r="1143" spans="1:8" x14ac:dyDescent="0.3">
      <c r="A1143" s="25">
        <v>1142</v>
      </c>
      <c r="B1143" s="26">
        <v>65</v>
      </c>
      <c r="C1143" s="26">
        <v>1</v>
      </c>
      <c r="D1143" s="26">
        <v>3</v>
      </c>
      <c r="E1143" s="26">
        <v>163</v>
      </c>
      <c r="F1143" s="28" t="str">
        <f>PROPER(nutrition!$H1143)</f>
        <v>Sirsak</v>
      </c>
      <c r="G1143" s="26" t="str">
        <f>IF(nutrition!$B1143&gt;300,"Tinggi Kalori",IF(nutrition!$B1143&gt;100,"Kalori Sedang","Rendah Kalori"))</f>
        <v>Rendah Kalori</v>
      </c>
      <c r="H1143" s="27" t="s">
        <v>1147</v>
      </c>
    </row>
    <row r="1144" spans="1:8" x14ac:dyDescent="0.3">
      <c r="A1144" s="21">
        <v>1143</v>
      </c>
      <c r="B1144" s="22">
        <v>213</v>
      </c>
      <c r="C1144" s="22">
        <v>0</v>
      </c>
      <c r="D1144" s="22">
        <v>0</v>
      </c>
      <c r="E1144" s="22">
        <v>55</v>
      </c>
      <c r="F1144" s="24" t="str">
        <f>PROPER(nutrition!$H1144)</f>
        <v>Sirup</v>
      </c>
      <c r="G1144" s="22" t="str">
        <f>IF(nutrition!$B1144&gt;300,"Tinggi Kalori",IF(nutrition!$B1144&gt;100,"Kalori Sedang","Rendah Kalori"))</f>
        <v>Kalori Sedang</v>
      </c>
      <c r="H1144" s="23" t="s">
        <v>1148</v>
      </c>
    </row>
    <row r="1145" spans="1:8" x14ac:dyDescent="0.3">
      <c r="A1145" s="25">
        <v>1144</v>
      </c>
      <c r="B1145" s="26">
        <v>71</v>
      </c>
      <c r="C1145" s="26">
        <v>75</v>
      </c>
      <c r="D1145" s="26">
        <v>36</v>
      </c>
      <c r="E1145" s="26">
        <v>22</v>
      </c>
      <c r="F1145" s="28" t="str">
        <f>PROPER(nutrition!$H1145)</f>
        <v>Sop Buntut Masakan</v>
      </c>
      <c r="G1145" s="26" t="str">
        <f>IF(nutrition!$B1145&gt;300,"Tinggi Kalori",IF(nutrition!$B1145&gt;100,"Kalori Sedang","Rendah Kalori"))</f>
        <v>Rendah Kalori</v>
      </c>
      <c r="H1145" s="27" t="s">
        <v>1149</v>
      </c>
    </row>
    <row r="1146" spans="1:8" x14ac:dyDescent="0.3">
      <c r="A1146" s="21">
        <v>1145</v>
      </c>
      <c r="B1146" s="22">
        <v>49</v>
      </c>
      <c r="C1146" s="22">
        <v>58</v>
      </c>
      <c r="D1146" s="22">
        <v>5</v>
      </c>
      <c r="E1146" s="22">
        <v>53</v>
      </c>
      <c r="F1146" s="24" t="str">
        <f>PROPER(nutrition!$H1146)</f>
        <v>Sop Daging Sapi Masakan</v>
      </c>
      <c r="G1146" s="22" t="str">
        <f>IF(nutrition!$B1146&gt;300,"Tinggi Kalori",IF(nutrition!$B1146&gt;100,"Kalori Sedang","Rendah Kalori"))</f>
        <v>Rendah Kalori</v>
      </c>
      <c r="H1146" s="23" t="s">
        <v>1150</v>
      </c>
    </row>
    <row r="1147" spans="1:8" x14ac:dyDescent="0.3">
      <c r="A1147" s="25">
        <v>1146</v>
      </c>
      <c r="B1147" s="26">
        <v>68</v>
      </c>
      <c r="C1147" s="26">
        <v>9</v>
      </c>
      <c r="D1147" s="26">
        <v>19</v>
      </c>
      <c r="E1147" s="26">
        <v>37</v>
      </c>
      <c r="F1147" s="28" t="str">
        <f>PROPER(nutrition!$H1147)</f>
        <v>Sop Kaki Sapi Masakan</v>
      </c>
      <c r="G1147" s="26" t="str">
        <f>IF(nutrition!$B1147&gt;300,"Tinggi Kalori",IF(nutrition!$B1147&gt;100,"Kalori Sedang","Rendah Kalori"))</f>
        <v>Rendah Kalori</v>
      </c>
      <c r="H1147" s="27" t="s">
        <v>1151</v>
      </c>
    </row>
    <row r="1148" spans="1:8" x14ac:dyDescent="0.3">
      <c r="A1148" s="21">
        <v>1147</v>
      </c>
      <c r="B1148" s="22">
        <v>34</v>
      </c>
      <c r="C1148" s="22">
        <v>55</v>
      </c>
      <c r="D1148" s="22">
        <v>8</v>
      </c>
      <c r="E1148" s="22">
        <v>11</v>
      </c>
      <c r="F1148" s="24" t="str">
        <f>PROPER(nutrition!$H1148)</f>
        <v>Sop Kambing Masakan</v>
      </c>
      <c r="G1148" s="22" t="str">
        <f>IF(nutrition!$B1148&gt;300,"Tinggi Kalori",IF(nutrition!$B1148&gt;100,"Kalori Sedang","Rendah Kalori"))</f>
        <v>Rendah Kalori</v>
      </c>
      <c r="H1148" s="23" t="s">
        <v>1152</v>
      </c>
    </row>
    <row r="1149" spans="1:8" x14ac:dyDescent="0.3">
      <c r="A1149" s="25">
        <v>1148</v>
      </c>
      <c r="B1149" s="26">
        <v>71</v>
      </c>
      <c r="C1149" s="26">
        <v>74</v>
      </c>
      <c r="D1149" s="26">
        <v>26</v>
      </c>
      <c r="E1149" s="26">
        <v>45</v>
      </c>
      <c r="F1149" s="28" t="str">
        <f>PROPER(nutrition!$H1149)</f>
        <v>Sop Konro Masakan</v>
      </c>
      <c r="G1149" s="26" t="str">
        <f>IF(nutrition!$B1149&gt;300,"Tinggi Kalori",IF(nutrition!$B1149&gt;100,"Kalori Sedang","Rendah Kalori"))</f>
        <v>Rendah Kalori</v>
      </c>
      <c r="H1149" s="27" t="s">
        <v>1153</v>
      </c>
    </row>
    <row r="1150" spans="1:8" x14ac:dyDescent="0.3">
      <c r="A1150" s="21">
        <v>1149</v>
      </c>
      <c r="B1150" s="22">
        <v>12</v>
      </c>
      <c r="C1150" s="22">
        <v>5</v>
      </c>
      <c r="D1150" s="22">
        <v>1</v>
      </c>
      <c r="E1150" s="22">
        <v>2</v>
      </c>
      <c r="F1150" s="24" t="str">
        <f>PROPER(nutrition!$H1150)</f>
        <v>Sop Kool</v>
      </c>
      <c r="G1150" s="22" t="str">
        <f>IF(nutrition!$B1150&gt;300,"Tinggi Kalori",IF(nutrition!$B1150&gt;100,"Kalori Sedang","Rendah Kalori"))</f>
        <v>Rendah Kalori</v>
      </c>
      <c r="H1150" s="23" t="s">
        <v>1154</v>
      </c>
    </row>
    <row r="1151" spans="1:8" x14ac:dyDescent="0.3">
      <c r="A1151" s="25">
        <v>1150</v>
      </c>
      <c r="B1151" s="26">
        <v>15</v>
      </c>
      <c r="C1151" s="26">
        <v>6</v>
      </c>
      <c r="D1151" s="26">
        <v>1</v>
      </c>
      <c r="E1151" s="26">
        <v>31</v>
      </c>
      <c r="F1151" s="28" t="str">
        <f>PROPER(nutrition!$H1151)</f>
        <v>Sop Kool Dan Wortel</v>
      </c>
      <c r="G1151" s="26" t="str">
        <f>IF(nutrition!$B1151&gt;300,"Tinggi Kalori",IF(nutrition!$B1151&gt;100,"Kalori Sedang","Rendah Kalori"))</f>
        <v>Rendah Kalori</v>
      </c>
      <c r="H1151" s="27" t="s">
        <v>1155</v>
      </c>
    </row>
    <row r="1152" spans="1:8" x14ac:dyDescent="0.3">
      <c r="A1152" s="21">
        <v>1151</v>
      </c>
      <c r="B1152" s="22">
        <v>89</v>
      </c>
      <c r="C1152" s="22">
        <v>72</v>
      </c>
      <c r="D1152" s="22">
        <v>5</v>
      </c>
      <c r="E1152" s="22">
        <v>39</v>
      </c>
      <c r="F1152" s="24" t="str">
        <f>PROPER(nutrition!$H1152)</f>
        <v>Sop Saudara Masakan</v>
      </c>
      <c r="G1152" s="22" t="str">
        <f>IF(nutrition!$B1152&gt;300,"Tinggi Kalori",IF(nutrition!$B1152&gt;100,"Kalori Sedang","Rendah Kalori"))</f>
        <v>Rendah Kalori</v>
      </c>
      <c r="H1152" s="23" t="s">
        <v>1156</v>
      </c>
    </row>
    <row r="1153" spans="1:8" x14ac:dyDescent="0.3">
      <c r="A1153" s="25">
        <v>1152</v>
      </c>
      <c r="B1153" s="26">
        <v>42</v>
      </c>
      <c r="C1153" s="26">
        <v>39</v>
      </c>
      <c r="D1153" s="26">
        <v>17</v>
      </c>
      <c r="E1153" s="26">
        <v>28</v>
      </c>
      <c r="F1153" s="28" t="str">
        <f>PROPER(nutrition!$H1153)</f>
        <v>Soto Bandung Masakan</v>
      </c>
      <c r="G1153" s="26" t="str">
        <f>IF(nutrition!$B1153&gt;300,"Tinggi Kalori",IF(nutrition!$B1153&gt;100,"Kalori Sedang","Rendah Kalori"))</f>
        <v>Rendah Kalori</v>
      </c>
      <c r="H1153" s="27" t="s">
        <v>1157</v>
      </c>
    </row>
    <row r="1154" spans="1:8" x14ac:dyDescent="0.3">
      <c r="A1154" s="21">
        <v>1153</v>
      </c>
      <c r="B1154" s="22">
        <v>110</v>
      </c>
      <c r="C1154" s="22">
        <v>29</v>
      </c>
      <c r="D1154" s="22">
        <v>95</v>
      </c>
      <c r="E1154" s="22">
        <v>32</v>
      </c>
      <c r="F1154" s="24" t="str">
        <f>PROPER(nutrition!$H1154)</f>
        <v>Soto Banjar Masakan</v>
      </c>
      <c r="G1154" s="22" t="str">
        <f>IF(nutrition!$B1154&gt;300,"Tinggi Kalori",IF(nutrition!$B1154&gt;100,"Kalori Sedang","Rendah Kalori"))</f>
        <v>Kalori Sedang</v>
      </c>
      <c r="H1154" s="23" t="s">
        <v>1158</v>
      </c>
    </row>
    <row r="1155" spans="1:8" x14ac:dyDescent="0.3">
      <c r="A1155" s="25">
        <v>1154</v>
      </c>
      <c r="B1155" s="26">
        <v>135</v>
      </c>
      <c r="C1155" s="26">
        <v>25</v>
      </c>
      <c r="D1155" s="26">
        <v>88</v>
      </c>
      <c r="E1155" s="26">
        <v>115</v>
      </c>
      <c r="F1155" s="28" t="str">
        <f>PROPER(nutrition!$H1155)</f>
        <v>Soto Betawi Masakan</v>
      </c>
      <c r="G1155" s="26" t="str">
        <f>IF(nutrition!$B1155&gt;300,"Tinggi Kalori",IF(nutrition!$B1155&gt;100,"Kalori Sedang","Rendah Kalori"))</f>
        <v>Kalori Sedang</v>
      </c>
      <c r="H1155" s="27" t="s">
        <v>1159</v>
      </c>
    </row>
    <row r="1156" spans="1:8" x14ac:dyDescent="0.3">
      <c r="A1156" s="21">
        <v>1155</v>
      </c>
      <c r="B1156" s="22">
        <v>1275</v>
      </c>
      <c r="C1156" s="22">
        <v>26</v>
      </c>
      <c r="D1156" s="22">
        <v>94</v>
      </c>
      <c r="E1156" s="22">
        <v>83</v>
      </c>
      <c r="F1156" s="24" t="str">
        <f>PROPER(nutrition!$H1156)</f>
        <v>Soto Dengan Daging</v>
      </c>
      <c r="G1156" s="22" t="str">
        <f>IF(nutrition!$B1156&gt;300,"Tinggi Kalori",IF(nutrition!$B1156&gt;100,"Kalori Sedang","Rendah Kalori"))</f>
        <v>Tinggi Kalori</v>
      </c>
      <c r="H1156" s="23" t="s">
        <v>1160</v>
      </c>
    </row>
    <row r="1157" spans="1:8" x14ac:dyDescent="0.3">
      <c r="A1157" s="25">
        <v>1156</v>
      </c>
      <c r="B1157" s="26">
        <v>92</v>
      </c>
      <c r="C1157" s="26">
        <v>118</v>
      </c>
      <c r="D1157" s="26">
        <v>43</v>
      </c>
      <c r="E1157" s="26">
        <v>14</v>
      </c>
      <c r="F1157" s="28" t="str">
        <f>PROPER(nutrition!$H1157)</f>
        <v>Soto Jeroan Masakan</v>
      </c>
      <c r="G1157" s="26" t="str">
        <f>IF(nutrition!$B1157&gt;300,"Tinggi Kalori",IF(nutrition!$B1157&gt;100,"Kalori Sedang","Rendah Kalori"))</f>
        <v>Rendah Kalori</v>
      </c>
      <c r="H1157" s="27" t="s">
        <v>1161</v>
      </c>
    </row>
    <row r="1158" spans="1:8" x14ac:dyDescent="0.3">
      <c r="A1158" s="21">
        <v>1157</v>
      </c>
      <c r="B1158" s="22">
        <v>38</v>
      </c>
      <c r="C1158" s="22">
        <v>26</v>
      </c>
      <c r="D1158" s="22">
        <v>23</v>
      </c>
      <c r="E1158" s="22">
        <v>18</v>
      </c>
      <c r="F1158" s="24" t="str">
        <f>PROPER(nutrition!$H1158)</f>
        <v>Soto Kudus Masakan</v>
      </c>
      <c r="G1158" s="22" t="str">
        <f>IF(nutrition!$B1158&gt;300,"Tinggi Kalori",IF(nutrition!$B1158&gt;100,"Kalori Sedang","Rendah Kalori"))</f>
        <v>Rendah Kalori</v>
      </c>
      <c r="H1158" s="23" t="s">
        <v>1162</v>
      </c>
    </row>
    <row r="1159" spans="1:8" x14ac:dyDescent="0.3">
      <c r="A1159" s="25">
        <v>1158</v>
      </c>
      <c r="B1159" s="26">
        <v>60</v>
      </c>
      <c r="C1159" s="26">
        <v>35</v>
      </c>
      <c r="D1159" s="26">
        <v>45</v>
      </c>
      <c r="E1159" s="26">
        <v>13</v>
      </c>
      <c r="F1159" s="28" t="str">
        <f>PROPER(nutrition!$H1159)</f>
        <v>Soto Madura Masakan</v>
      </c>
      <c r="G1159" s="26" t="str">
        <f>IF(nutrition!$B1159&gt;300,"Tinggi Kalori",IF(nutrition!$B1159&gt;100,"Kalori Sedang","Rendah Kalori"))</f>
        <v>Rendah Kalori</v>
      </c>
      <c r="H1159" s="27" t="s">
        <v>1163</v>
      </c>
    </row>
    <row r="1160" spans="1:8" x14ac:dyDescent="0.3">
      <c r="A1160" s="21">
        <v>1159</v>
      </c>
      <c r="B1160" s="22">
        <v>127</v>
      </c>
      <c r="C1160" s="22">
        <v>59</v>
      </c>
      <c r="D1160" s="22">
        <v>66</v>
      </c>
      <c r="E1160" s="22">
        <v>11</v>
      </c>
      <c r="F1160" s="24" t="str">
        <f>PROPER(nutrition!$H1160)</f>
        <v>Soto Padang Masakan</v>
      </c>
      <c r="G1160" s="22" t="str">
        <f>IF(nutrition!$B1160&gt;300,"Tinggi Kalori",IF(nutrition!$B1160&gt;100,"Kalori Sedang","Rendah Kalori"))</f>
        <v>Kalori Sedang</v>
      </c>
      <c r="H1160" s="23" t="s">
        <v>1164</v>
      </c>
    </row>
    <row r="1161" spans="1:8" x14ac:dyDescent="0.3">
      <c r="A1161" s="25">
        <v>1160</v>
      </c>
      <c r="B1161" s="26">
        <v>94</v>
      </c>
      <c r="C1161" s="26">
        <v>3</v>
      </c>
      <c r="D1161" s="26">
        <v>68</v>
      </c>
      <c r="E1161" s="26">
        <v>51</v>
      </c>
      <c r="F1161" s="28" t="str">
        <f>PROPER(nutrition!$H1161)</f>
        <v>Soto Pekalongan Masakan</v>
      </c>
      <c r="G1161" s="26" t="str">
        <f>IF(nutrition!$B1161&gt;300,"Tinggi Kalori",IF(nutrition!$B1161&gt;100,"Kalori Sedang","Rendah Kalori"))</f>
        <v>Rendah Kalori</v>
      </c>
      <c r="H1161" s="27" t="s">
        <v>1165</v>
      </c>
    </row>
    <row r="1162" spans="1:8" x14ac:dyDescent="0.3">
      <c r="A1162" s="21">
        <v>1161</v>
      </c>
      <c r="B1162" s="22">
        <v>75</v>
      </c>
      <c r="C1162" s="22">
        <v>36</v>
      </c>
      <c r="D1162" s="22">
        <v>52</v>
      </c>
      <c r="E1162" s="22">
        <v>35</v>
      </c>
      <c r="F1162" s="24" t="str">
        <f>PROPER(nutrition!$H1162)</f>
        <v>Soto Pemalang Masakan</v>
      </c>
      <c r="G1162" s="22" t="str">
        <f>IF(nutrition!$B1162&gt;300,"Tinggi Kalori",IF(nutrition!$B1162&gt;100,"Kalori Sedang","Rendah Kalori"))</f>
        <v>Rendah Kalori</v>
      </c>
      <c r="H1162" s="23" t="s">
        <v>1166</v>
      </c>
    </row>
    <row r="1163" spans="1:8" x14ac:dyDescent="0.3">
      <c r="A1163" s="25">
        <v>1162</v>
      </c>
      <c r="B1163" s="26">
        <v>80</v>
      </c>
      <c r="C1163" s="26">
        <v>32</v>
      </c>
      <c r="D1163" s="26">
        <v>35</v>
      </c>
      <c r="E1163" s="26">
        <v>9</v>
      </c>
      <c r="F1163" s="28" t="str">
        <f>PROPER(nutrition!$H1163)</f>
        <v>Soto Sukaraja Masakan</v>
      </c>
      <c r="G1163" s="26" t="str">
        <f>IF(nutrition!$B1163&gt;300,"Tinggi Kalori",IF(nutrition!$B1163&gt;100,"Kalori Sedang","Rendah Kalori"))</f>
        <v>Rendah Kalori</v>
      </c>
      <c r="H1163" s="27" t="s">
        <v>1167</v>
      </c>
    </row>
    <row r="1164" spans="1:8" x14ac:dyDescent="0.3">
      <c r="A1164" s="21">
        <v>1163</v>
      </c>
      <c r="B1164" s="22">
        <v>86</v>
      </c>
      <c r="C1164" s="22">
        <v>23</v>
      </c>
      <c r="D1164" s="22">
        <v>85</v>
      </c>
      <c r="E1164" s="22">
        <v>0</v>
      </c>
      <c r="F1164" s="24" t="str">
        <f>PROPER(nutrition!$H1164)</f>
        <v>Soto Sulung Masakan</v>
      </c>
      <c r="G1164" s="22" t="str">
        <f>IF(nutrition!$B1164&gt;300,"Tinggi Kalori",IF(nutrition!$B1164&gt;100,"Kalori Sedang","Rendah Kalori"))</f>
        <v>Rendah Kalori</v>
      </c>
      <c r="H1164" s="23" t="s">
        <v>1168</v>
      </c>
    </row>
    <row r="1165" spans="1:8" x14ac:dyDescent="0.3">
      <c r="A1165" s="25">
        <v>1164</v>
      </c>
      <c r="B1165" s="26">
        <v>1171</v>
      </c>
      <c r="C1165" s="26">
        <v>4</v>
      </c>
      <c r="D1165" s="26">
        <v>86</v>
      </c>
      <c r="E1165" s="26">
        <v>96</v>
      </c>
      <c r="F1165" s="28" t="str">
        <f>PROPER(nutrition!$H1165)</f>
        <v xml:space="preserve">Soto Tanpa Daging </v>
      </c>
      <c r="G1165" s="26" t="str">
        <f>IF(nutrition!$B1165&gt;300,"Tinggi Kalori",IF(nutrition!$B1165&gt;100,"Kalori Sedang","Rendah Kalori"))</f>
        <v>Tinggi Kalori</v>
      </c>
      <c r="H1165" s="27" t="s">
        <v>1169</v>
      </c>
    </row>
    <row r="1166" spans="1:8" x14ac:dyDescent="0.3">
      <c r="A1166" s="21">
        <v>1165</v>
      </c>
      <c r="B1166" s="22">
        <v>139</v>
      </c>
      <c r="C1166" s="22">
        <v>74</v>
      </c>
      <c r="D1166" s="22">
        <v>21</v>
      </c>
      <c r="E1166" s="22">
        <v>226</v>
      </c>
      <c r="F1166" s="24" t="str">
        <f>PROPER(nutrition!$H1166)</f>
        <v>Spaghetti</v>
      </c>
      <c r="G1166" s="22" t="str">
        <f>IF(nutrition!$B1166&gt;300,"Tinggi Kalori",IF(nutrition!$B1166&gt;100,"Kalori Sedang","Rendah Kalori"))</f>
        <v>Kalori Sedang</v>
      </c>
      <c r="H1166" s="23" t="s">
        <v>1170</v>
      </c>
    </row>
    <row r="1167" spans="1:8" x14ac:dyDescent="0.3">
      <c r="A1167" s="25">
        <v>1166</v>
      </c>
      <c r="B1167" s="26">
        <v>101</v>
      </c>
      <c r="C1167" s="26">
        <v>17</v>
      </c>
      <c r="D1167" s="26">
        <v>6</v>
      </c>
      <c r="E1167" s="26">
        <v>352</v>
      </c>
      <c r="F1167" s="28" t="str">
        <f>PROPER(nutrition!$H1167)</f>
        <v>Srikaya</v>
      </c>
      <c r="G1167" s="26" t="str">
        <f>IF(nutrition!$B1167&gt;300,"Tinggi Kalori",IF(nutrition!$B1167&gt;100,"Kalori Sedang","Rendah Kalori"))</f>
        <v>Kalori Sedang</v>
      </c>
      <c r="H1167" s="27" t="s">
        <v>1171</v>
      </c>
    </row>
    <row r="1168" spans="1:8" x14ac:dyDescent="0.3">
      <c r="A1168" s="21">
        <v>1167</v>
      </c>
      <c r="B1168" s="22">
        <v>75</v>
      </c>
      <c r="C1168" s="22">
        <v>56</v>
      </c>
      <c r="D1168" s="22">
        <v>4</v>
      </c>
      <c r="E1168" s="22">
        <v>122</v>
      </c>
      <c r="F1168" s="24" t="str">
        <f>PROPER(nutrition!$H1168)</f>
        <v>Sukiyaki Masakan</v>
      </c>
      <c r="G1168" s="22" t="str">
        <f>IF(nutrition!$B1168&gt;300,"Tinggi Kalori",IF(nutrition!$B1168&gt;100,"Kalori Sedang","Rendah Kalori"))</f>
        <v>Rendah Kalori</v>
      </c>
      <c r="H1168" s="23" t="s">
        <v>1172</v>
      </c>
    </row>
    <row r="1169" spans="1:8" x14ac:dyDescent="0.3">
      <c r="A1169" s="25">
        <v>1168</v>
      </c>
      <c r="B1169" s="26">
        <v>119</v>
      </c>
      <c r="C1169" s="26">
        <v>14</v>
      </c>
      <c r="D1169" s="26">
        <v>2</v>
      </c>
      <c r="E1169" s="26">
        <v>281</v>
      </c>
      <c r="F1169" s="28" t="str">
        <f>PROPER(nutrition!$H1169)</f>
        <v>Sukun Muda Segar</v>
      </c>
      <c r="G1169" s="26" t="str">
        <f>IF(nutrition!$B1169&gt;300,"Tinggi Kalori",IF(nutrition!$B1169&gt;100,"Kalori Sedang","Rendah Kalori"))</f>
        <v>Kalori Sedang</v>
      </c>
      <c r="H1169" s="27" t="s">
        <v>1173</v>
      </c>
    </row>
    <row r="1170" spans="1:8" x14ac:dyDescent="0.3">
      <c r="A1170" s="21">
        <v>1169</v>
      </c>
      <c r="B1170" s="22">
        <v>126</v>
      </c>
      <c r="C1170" s="22">
        <v>16</v>
      </c>
      <c r="D1170" s="22">
        <v>2</v>
      </c>
      <c r="E1170" s="22">
        <v>245</v>
      </c>
      <c r="F1170" s="24" t="str">
        <f>PROPER(nutrition!$H1170)</f>
        <v>Sukun Tua Segar</v>
      </c>
      <c r="G1170" s="22" t="str">
        <f>IF(nutrition!$B1170&gt;300,"Tinggi Kalori",IF(nutrition!$B1170&gt;100,"Kalori Sedang","Rendah Kalori"))</f>
        <v>Kalori Sedang</v>
      </c>
      <c r="H1170" s="23" t="s">
        <v>1174</v>
      </c>
    </row>
    <row r="1171" spans="1:8" x14ac:dyDescent="0.3">
      <c r="A1171" s="25">
        <v>1170</v>
      </c>
      <c r="B1171" s="26">
        <v>418</v>
      </c>
      <c r="C1171" s="26">
        <v>19</v>
      </c>
      <c r="D1171" s="26">
        <v>9</v>
      </c>
      <c r="E1171" s="26">
        <v>655</v>
      </c>
      <c r="F1171" s="28" t="str">
        <f>PROPER(nutrition!$H1171)</f>
        <v>Susu Asam Untuk Bayi Bubuk</v>
      </c>
      <c r="G1171" s="26" t="str">
        <f>IF(nutrition!$B1171&gt;300,"Tinggi Kalori",IF(nutrition!$B1171&gt;100,"Kalori Sedang","Rendah Kalori"))</f>
        <v>Tinggi Kalori</v>
      </c>
      <c r="H1171" s="27" t="s">
        <v>1175</v>
      </c>
    </row>
    <row r="1172" spans="1:8" x14ac:dyDescent="0.3">
      <c r="A1172" s="21">
        <v>1171</v>
      </c>
      <c r="B1172" s="22">
        <v>513</v>
      </c>
      <c r="C1172" s="22">
        <v>246</v>
      </c>
      <c r="D1172" s="22">
        <v>30</v>
      </c>
      <c r="E1172" s="22">
        <v>362</v>
      </c>
      <c r="F1172" s="24" t="str">
        <f>PROPER(nutrition!$H1172)</f>
        <v>Susu Bubuk</v>
      </c>
      <c r="G1172" s="22" t="str">
        <f>IF(nutrition!$B1172&gt;300,"Tinggi Kalori",IF(nutrition!$B1172&gt;100,"Kalori Sedang","Rendah Kalori"))</f>
        <v>Tinggi Kalori</v>
      </c>
      <c r="H1172" s="23" t="s">
        <v>1176</v>
      </c>
    </row>
    <row r="1173" spans="1:8" x14ac:dyDescent="0.3">
      <c r="A1173" s="25">
        <v>1172</v>
      </c>
      <c r="B1173" s="26">
        <v>64</v>
      </c>
      <c r="C1173" s="26">
        <v>43</v>
      </c>
      <c r="D1173" s="26">
        <v>23</v>
      </c>
      <c r="E1173" s="26">
        <v>66</v>
      </c>
      <c r="F1173" s="28" t="str">
        <f>PROPER(nutrition!$H1173)</f>
        <v>Susu Kambing</v>
      </c>
      <c r="G1173" s="26" t="str">
        <f>IF(nutrition!$B1173&gt;300,"Tinggi Kalori",IF(nutrition!$B1173&gt;100,"Kalori Sedang","Rendah Kalori"))</f>
        <v>Rendah Kalori</v>
      </c>
      <c r="H1173" s="27" t="s">
        <v>1177</v>
      </c>
    </row>
    <row r="1174" spans="1:8" x14ac:dyDescent="0.3">
      <c r="A1174" s="21">
        <v>1173</v>
      </c>
      <c r="B1174" s="22">
        <v>41</v>
      </c>
      <c r="C1174" s="22">
        <v>35</v>
      </c>
      <c r="D1174" s="22">
        <v>25</v>
      </c>
      <c r="E1174" s="22">
        <v>5</v>
      </c>
      <c r="F1174" s="24" t="str">
        <f>PROPER(nutrition!$H1174)</f>
        <v>Susu Kedelai</v>
      </c>
      <c r="G1174" s="22" t="str">
        <f>IF(nutrition!$B1174&gt;300,"Tinggi Kalori",IF(nutrition!$B1174&gt;100,"Kalori Sedang","Rendah Kalori"))</f>
        <v>Rendah Kalori</v>
      </c>
      <c r="H1174" s="23" t="s">
        <v>1178</v>
      </c>
    </row>
    <row r="1175" spans="1:8" x14ac:dyDescent="0.3">
      <c r="A1175" s="25">
        <v>1174</v>
      </c>
      <c r="B1175" s="26">
        <v>336</v>
      </c>
      <c r="C1175" s="26">
        <v>82</v>
      </c>
      <c r="D1175" s="26">
        <v>10</v>
      </c>
      <c r="E1175" s="26">
        <v>55</v>
      </c>
      <c r="F1175" s="28" t="str">
        <f>PROPER(nutrition!$H1175)</f>
        <v>Susu Kental Manis</v>
      </c>
      <c r="G1175" s="26" t="str">
        <f>IF(nutrition!$B1175&gt;300,"Tinggi Kalori",IF(nutrition!$B1175&gt;100,"Kalori Sedang","Rendah Kalori"))</f>
        <v>Tinggi Kalori</v>
      </c>
      <c r="H1175" s="27" t="s">
        <v>1179</v>
      </c>
    </row>
    <row r="1176" spans="1:8" x14ac:dyDescent="0.3">
      <c r="A1176" s="21">
        <v>1175</v>
      </c>
      <c r="B1176" s="22">
        <v>138</v>
      </c>
      <c r="C1176" s="22">
        <v>7</v>
      </c>
      <c r="D1176" s="22">
        <v>79</v>
      </c>
      <c r="E1176" s="22">
        <v>99</v>
      </c>
      <c r="F1176" s="24" t="str">
        <f>PROPER(nutrition!$H1176)</f>
        <v>Susu Kental Tak Manis</v>
      </c>
      <c r="G1176" s="22" t="str">
        <f>IF(nutrition!$B1176&gt;300,"Tinggi Kalori",IF(nutrition!$B1176&gt;100,"Kalori Sedang","Rendah Kalori"))</f>
        <v>Kalori Sedang</v>
      </c>
      <c r="H1176" s="23" t="s">
        <v>1180</v>
      </c>
    </row>
    <row r="1177" spans="1:8" x14ac:dyDescent="0.3">
      <c r="A1177" s="25">
        <v>1176</v>
      </c>
      <c r="B1177" s="26">
        <v>160</v>
      </c>
      <c r="C1177" s="26">
        <v>63</v>
      </c>
      <c r="D1177" s="26">
        <v>12</v>
      </c>
      <c r="E1177" s="26">
        <v>71</v>
      </c>
      <c r="F1177" s="28" t="str">
        <f>PROPER(nutrition!$H1177)</f>
        <v>Susu Kerbau</v>
      </c>
      <c r="G1177" s="26" t="str">
        <f>IF(nutrition!$B1177&gt;300,"Tinggi Kalori",IF(nutrition!$B1177&gt;100,"Kalori Sedang","Rendah Kalori"))</f>
        <v>Kalori Sedang</v>
      </c>
      <c r="H1177" s="27" t="s">
        <v>1181</v>
      </c>
    </row>
    <row r="1178" spans="1:8" x14ac:dyDescent="0.3">
      <c r="A1178" s="21">
        <v>1177</v>
      </c>
      <c r="B1178" s="22">
        <v>61</v>
      </c>
      <c r="C1178" s="22">
        <v>32</v>
      </c>
      <c r="D1178" s="22">
        <v>35</v>
      </c>
      <c r="E1178" s="22">
        <v>43</v>
      </c>
      <c r="F1178" s="24" t="str">
        <f>PROPER(nutrition!$H1178)</f>
        <v>Susu Sapi</v>
      </c>
      <c r="G1178" s="22" t="str">
        <f>IF(nutrition!$B1178&gt;300,"Tinggi Kalori",IF(nutrition!$B1178&gt;100,"Kalori Sedang","Rendah Kalori"))</f>
        <v>Rendah Kalori</v>
      </c>
      <c r="H1178" s="23" t="s">
        <v>1182</v>
      </c>
    </row>
    <row r="1179" spans="1:8" x14ac:dyDescent="0.3">
      <c r="A1179" s="25">
        <v>1178</v>
      </c>
      <c r="B1179" s="26">
        <v>36</v>
      </c>
      <c r="C1179" s="26">
        <v>35</v>
      </c>
      <c r="D1179" s="26">
        <v>1</v>
      </c>
      <c r="E1179" s="26">
        <v>51</v>
      </c>
      <c r="F1179" s="28" t="str">
        <f>PROPER(nutrition!$H1179)</f>
        <v>Susu Skim (Tak Berlemak)</v>
      </c>
      <c r="G1179" s="26" t="str">
        <f>IF(nutrition!$B1179&gt;300,"Tinggi Kalori",IF(nutrition!$B1179&gt;100,"Kalori Sedang","Rendah Kalori"))</f>
        <v>Rendah Kalori</v>
      </c>
      <c r="H1179" s="27" t="s">
        <v>1183</v>
      </c>
    </row>
    <row r="1180" spans="1:8" x14ac:dyDescent="0.3">
      <c r="A1180" s="21">
        <v>1179</v>
      </c>
      <c r="B1180" s="22">
        <v>359</v>
      </c>
      <c r="C1180" s="22">
        <v>356</v>
      </c>
      <c r="D1180" s="22">
        <v>1</v>
      </c>
      <c r="E1180" s="22">
        <v>52</v>
      </c>
      <c r="F1180" s="24" t="str">
        <f>PROPER(nutrition!$H1180)</f>
        <v>Susu Skim Bubuk</v>
      </c>
      <c r="G1180" s="22" t="str">
        <f>IF(nutrition!$B1180&gt;300,"Tinggi Kalori",IF(nutrition!$B1180&gt;100,"Kalori Sedang","Rendah Kalori"))</f>
        <v>Tinggi Kalori</v>
      </c>
      <c r="H1180" s="23" t="s">
        <v>1184</v>
      </c>
    </row>
    <row r="1181" spans="1:8" x14ac:dyDescent="0.3">
      <c r="A1181" s="25">
        <v>1180</v>
      </c>
      <c r="B1181" s="26">
        <v>36</v>
      </c>
      <c r="C1181" s="26">
        <v>35</v>
      </c>
      <c r="D1181" s="26">
        <v>1</v>
      </c>
      <c r="E1181" s="26">
        <v>51</v>
      </c>
      <c r="F1181" s="28" t="str">
        <f>PROPER(nutrition!$H1181)</f>
        <v>Susu Skim Segar</v>
      </c>
      <c r="G1181" s="26" t="str">
        <f>IF(nutrition!$B1181&gt;300,"Tinggi Kalori",IF(nutrition!$B1181&gt;100,"Kalori Sedang","Rendah Kalori"))</f>
        <v>Rendah Kalori</v>
      </c>
      <c r="H1181" s="27" t="s">
        <v>1185</v>
      </c>
    </row>
    <row r="1182" spans="1:8" x14ac:dyDescent="0.3">
      <c r="A1182" s="21">
        <v>1181</v>
      </c>
      <c r="B1182" s="22">
        <v>87</v>
      </c>
      <c r="C1182" s="22">
        <v>53</v>
      </c>
      <c r="D1182" s="22">
        <v>52</v>
      </c>
      <c r="E1182" s="22">
        <v>63</v>
      </c>
      <c r="F1182" s="24" t="str">
        <f>PROPER(nutrition!$H1182)</f>
        <v>Susupan</v>
      </c>
      <c r="G1182" s="22" t="str">
        <f>IF(nutrition!$B1182&gt;300,"Tinggi Kalori",IF(nutrition!$B1182&gt;100,"Kalori Sedang","Rendah Kalori"))</f>
        <v>Rendah Kalori</v>
      </c>
      <c r="H1182" s="23" t="s">
        <v>1186</v>
      </c>
    </row>
    <row r="1183" spans="1:8" x14ac:dyDescent="0.3">
      <c r="A1183" s="25">
        <v>1182</v>
      </c>
      <c r="B1183" s="26">
        <v>90</v>
      </c>
      <c r="C1183" s="26">
        <v>15</v>
      </c>
      <c r="D1183" s="26">
        <v>1</v>
      </c>
      <c r="E1183" s="26">
        <v>219</v>
      </c>
      <c r="F1183" s="28" t="str">
        <f>PROPER(nutrition!$H1183)</f>
        <v>Suweg Kukus</v>
      </c>
      <c r="G1183" s="26" t="str">
        <f>IF(nutrition!$B1183&gt;300,"Tinggi Kalori",IF(nutrition!$B1183&gt;100,"Kalori Sedang","Rendah Kalori"))</f>
        <v>Rendah Kalori</v>
      </c>
      <c r="H1183" s="27" t="s">
        <v>1187</v>
      </c>
    </row>
    <row r="1184" spans="1:8" x14ac:dyDescent="0.3">
      <c r="A1184" s="21">
        <v>1183</v>
      </c>
      <c r="B1184" s="22">
        <v>69</v>
      </c>
      <c r="C1184" s="22">
        <v>1</v>
      </c>
      <c r="D1184" s="22">
        <v>1</v>
      </c>
      <c r="E1184" s="22">
        <v>157</v>
      </c>
      <c r="F1184" s="24" t="str">
        <f>PROPER(nutrition!$H1184)</f>
        <v>Suweg Mentah</v>
      </c>
      <c r="G1184" s="22" t="str">
        <f>IF(nutrition!$B1184&gt;300,"Tinggi Kalori",IF(nutrition!$B1184&gt;100,"Kalori Sedang","Rendah Kalori"))</f>
        <v>Rendah Kalori</v>
      </c>
      <c r="H1184" s="23" t="s">
        <v>1188</v>
      </c>
    </row>
    <row r="1185" spans="1:8" x14ac:dyDescent="0.3">
      <c r="A1185" s="25">
        <v>1184</v>
      </c>
      <c r="B1185" s="26">
        <v>74</v>
      </c>
      <c r="C1185" s="26">
        <v>14</v>
      </c>
      <c r="D1185" s="26">
        <v>1</v>
      </c>
      <c r="E1185" s="26">
        <v>172</v>
      </c>
      <c r="F1185" s="28" t="str">
        <f>PROPER(nutrition!$H1185)</f>
        <v>Suweg Talas Segar</v>
      </c>
      <c r="G1185" s="26" t="str">
        <f>IF(nutrition!$B1185&gt;300,"Tinggi Kalori",IF(nutrition!$B1185&gt;100,"Kalori Sedang","Rendah Kalori"))</f>
        <v>Rendah Kalori</v>
      </c>
      <c r="H1185" s="27" t="s">
        <v>1189</v>
      </c>
    </row>
    <row r="1186" spans="1:8" x14ac:dyDescent="0.3">
      <c r="A1186" s="21">
        <v>1185</v>
      </c>
      <c r="B1186" s="22">
        <v>347</v>
      </c>
      <c r="C1186" s="22">
        <v>5</v>
      </c>
      <c r="D1186" s="22">
        <v>9</v>
      </c>
      <c r="E1186" s="22">
        <v>842</v>
      </c>
      <c r="F1186" s="24" t="str">
        <f>PROPER(nutrition!$H1186)</f>
        <v>Suwir-Suwir</v>
      </c>
      <c r="G1186" s="22" t="str">
        <f>IF(nutrition!$B1186&gt;300,"Tinggi Kalori",IF(nutrition!$B1186&gt;100,"Kalori Sedang","Rendah Kalori"))</f>
        <v>Tinggi Kalori</v>
      </c>
      <c r="H1186" s="23" t="s">
        <v>1190</v>
      </c>
    </row>
    <row r="1187" spans="1:8" x14ac:dyDescent="0.3">
      <c r="A1187" s="25">
        <v>1186</v>
      </c>
      <c r="B1187" s="26">
        <v>68</v>
      </c>
      <c r="C1187" s="26">
        <v>78</v>
      </c>
      <c r="D1187" s="26">
        <v>46</v>
      </c>
      <c r="E1187" s="26">
        <v>16</v>
      </c>
      <c r="F1187" s="28" t="str">
        <f>PROPER(nutrition!$H1187)</f>
        <v>Tahu</v>
      </c>
      <c r="G1187" s="26" t="str">
        <f>IF(nutrition!$B1187&gt;300,"Tinggi Kalori",IF(nutrition!$B1187&gt;100,"Kalori Sedang","Rendah Kalori"))</f>
        <v>Rendah Kalori</v>
      </c>
      <c r="H1187" s="27" t="s">
        <v>1191</v>
      </c>
    </row>
    <row r="1188" spans="1:8" x14ac:dyDescent="0.3">
      <c r="A1188" s="21">
        <v>1187</v>
      </c>
      <c r="B1188" s="22">
        <v>115</v>
      </c>
      <c r="C1188" s="22">
        <v>97</v>
      </c>
      <c r="D1188" s="22">
        <v>85</v>
      </c>
      <c r="E1188" s="22">
        <v>25</v>
      </c>
      <c r="F1188" s="24" t="str">
        <f>PROPER(nutrition!$H1188)</f>
        <v>Tahu Goreng</v>
      </c>
      <c r="G1188" s="22" t="str">
        <f>IF(nutrition!$B1188&gt;300,"Tinggi Kalori",IF(nutrition!$B1188&gt;100,"Kalori Sedang","Rendah Kalori"))</f>
        <v>Kalori Sedang</v>
      </c>
      <c r="H1188" s="23" t="s">
        <v>1192</v>
      </c>
    </row>
    <row r="1189" spans="1:8" x14ac:dyDescent="0.3">
      <c r="A1189" s="25">
        <v>1188</v>
      </c>
      <c r="B1189" s="26">
        <v>328</v>
      </c>
      <c r="C1189" s="26">
        <v>126</v>
      </c>
      <c r="D1189" s="26">
        <v>199</v>
      </c>
      <c r="E1189" s="26">
        <v>246</v>
      </c>
      <c r="F1189" s="28" t="str">
        <f>PROPER(nutrition!$H1189)</f>
        <v>Tahu Telur</v>
      </c>
      <c r="G1189" s="26" t="str">
        <f>IF(nutrition!$B1189&gt;300,"Tinggi Kalori",IF(nutrition!$B1189&gt;100,"Kalori Sedang","Rendah Kalori"))</f>
        <v>Tinggi Kalori</v>
      </c>
      <c r="H1189" s="27" t="s">
        <v>1193</v>
      </c>
    </row>
    <row r="1190" spans="1:8" x14ac:dyDescent="0.3">
      <c r="A1190" s="21">
        <v>1189</v>
      </c>
      <c r="B1190" s="22">
        <v>148</v>
      </c>
      <c r="C1190" s="22">
        <v>138</v>
      </c>
      <c r="D1190" s="22">
        <v>85</v>
      </c>
      <c r="E1190" s="22">
        <v>4</v>
      </c>
      <c r="F1190" s="24" t="str">
        <f>PROPER(nutrition!$H1190)</f>
        <v>Takwa</v>
      </c>
      <c r="G1190" s="22" t="str">
        <f>IF(nutrition!$B1190&gt;300,"Tinggi Kalori",IF(nutrition!$B1190&gt;100,"Kalori Sedang","Rendah Kalori"))</f>
        <v>Kalori Sedang</v>
      </c>
      <c r="H1190" s="23" t="s">
        <v>1194</v>
      </c>
    </row>
    <row r="1191" spans="1:8" x14ac:dyDescent="0.3">
      <c r="A1191" s="25">
        <v>1190</v>
      </c>
      <c r="B1191" s="26">
        <v>120</v>
      </c>
      <c r="C1191" s="26">
        <v>15</v>
      </c>
      <c r="D1191" s="26">
        <v>3</v>
      </c>
      <c r="E1191" s="26">
        <v>282</v>
      </c>
      <c r="F1191" s="28" t="str">
        <f>PROPER(nutrition!$H1191)</f>
        <v>Talas Bogor Kukus</v>
      </c>
      <c r="G1191" s="26" t="str">
        <f>IF(nutrition!$B1191&gt;300,"Tinggi Kalori",IF(nutrition!$B1191&gt;100,"Kalori Sedang","Rendah Kalori"))</f>
        <v>Kalori Sedang</v>
      </c>
      <c r="H1191" s="27" t="s">
        <v>1195</v>
      </c>
    </row>
    <row r="1192" spans="1:8" x14ac:dyDescent="0.3">
      <c r="A1192" s="21">
        <v>1191</v>
      </c>
      <c r="B1192" s="22">
        <v>163</v>
      </c>
      <c r="C1192" s="22">
        <v>23</v>
      </c>
      <c r="D1192" s="22">
        <v>5</v>
      </c>
      <c r="E1192" s="22">
        <v>364</v>
      </c>
      <c r="F1192" s="24" t="str">
        <f>PROPER(nutrition!$H1192)</f>
        <v>Talas Pontianak Segar</v>
      </c>
      <c r="G1192" s="22" t="str">
        <f>IF(nutrition!$B1192&gt;300,"Tinggi Kalori",IF(nutrition!$B1192&gt;100,"Kalori Sedang","Rendah Kalori"))</f>
        <v>Kalori Sedang</v>
      </c>
      <c r="H1192" s="23" t="s">
        <v>1196</v>
      </c>
    </row>
    <row r="1193" spans="1:8" x14ac:dyDescent="0.3">
      <c r="A1193" s="25">
        <v>1192</v>
      </c>
      <c r="B1193" s="26">
        <v>115</v>
      </c>
      <c r="C1193" s="26">
        <v>18</v>
      </c>
      <c r="D1193" s="26">
        <v>5</v>
      </c>
      <c r="E1193" s="26">
        <v>259</v>
      </c>
      <c r="F1193" s="28" t="str">
        <f>PROPER(nutrition!$H1193)</f>
        <v>Talas Viqueque Segar</v>
      </c>
      <c r="G1193" s="26" t="str">
        <f>IF(nutrition!$B1193&gt;300,"Tinggi Kalori",IF(nutrition!$B1193&gt;100,"Kalori Sedang","Rendah Kalori"))</f>
        <v>Kalori Sedang</v>
      </c>
      <c r="H1193" s="27" t="s">
        <v>1197</v>
      </c>
    </row>
    <row r="1194" spans="1:8" x14ac:dyDescent="0.3">
      <c r="A1194" s="21">
        <v>1193</v>
      </c>
      <c r="B1194" s="22">
        <v>120</v>
      </c>
      <c r="C1194" s="22">
        <v>15</v>
      </c>
      <c r="D1194" s="22">
        <v>3</v>
      </c>
      <c r="E1194" s="22">
        <v>282</v>
      </c>
      <c r="F1194" s="24" t="str">
        <f>PROPER(nutrition!$H1194)</f>
        <v>Tales Kukus</v>
      </c>
      <c r="G1194" s="22" t="str">
        <f>IF(nutrition!$B1194&gt;300,"Tinggi Kalori",IF(nutrition!$B1194&gt;100,"Kalori Sedang","Rendah Kalori"))</f>
        <v>Kalori Sedang</v>
      </c>
      <c r="H1194" s="23" t="s">
        <v>1198</v>
      </c>
    </row>
    <row r="1195" spans="1:8" x14ac:dyDescent="0.3">
      <c r="A1195" s="25">
        <v>1194</v>
      </c>
      <c r="B1195" s="26">
        <v>98</v>
      </c>
      <c r="C1195" s="26">
        <v>19</v>
      </c>
      <c r="D1195" s="26">
        <v>2</v>
      </c>
      <c r="E1195" s="26">
        <v>237</v>
      </c>
      <c r="F1195" s="28" t="str">
        <f>PROPER(nutrition!$H1195)</f>
        <v>Tales Mentah</v>
      </c>
      <c r="G1195" s="26" t="str">
        <f>IF(nutrition!$B1195&gt;300,"Tinggi Kalori",IF(nutrition!$B1195&gt;100,"Kalori Sedang","Rendah Kalori"))</f>
        <v>Rendah Kalori</v>
      </c>
      <c r="H1195" s="27" t="s">
        <v>1199</v>
      </c>
    </row>
    <row r="1196" spans="1:8" x14ac:dyDescent="0.3">
      <c r="A1196" s="21">
        <v>1195</v>
      </c>
      <c r="B1196" s="22">
        <v>166</v>
      </c>
      <c r="C1196" s="22">
        <v>104</v>
      </c>
      <c r="D1196" s="22">
        <v>49</v>
      </c>
      <c r="E1196" s="22">
        <v>241</v>
      </c>
      <c r="F1196" s="24" t="str">
        <f>PROPER(nutrition!$H1196)</f>
        <v>Taoco</v>
      </c>
      <c r="G1196" s="22" t="str">
        <f>IF(nutrition!$B1196&gt;300,"Tinggi Kalori",IF(nutrition!$B1196&gt;100,"Kalori Sedang","Rendah Kalori"))</f>
        <v>Kalori Sedang</v>
      </c>
      <c r="H1196" s="23" t="s">
        <v>1200</v>
      </c>
    </row>
    <row r="1197" spans="1:8" x14ac:dyDescent="0.3">
      <c r="A1197" s="25">
        <v>1196</v>
      </c>
      <c r="B1197" s="26">
        <v>88</v>
      </c>
      <c r="C1197" s="26">
        <v>32</v>
      </c>
      <c r="D1197" s="26">
        <v>21</v>
      </c>
      <c r="E1197" s="26">
        <v>14</v>
      </c>
      <c r="F1197" s="28" t="str">
        <f>PROPER(nutrition!$H1197)</f>
        <v>Taoge Goreng</v>
      </c>
      <c r="G1197" s="26" t="str">
        <f>IF(nutrition!$B1197&gt;300,"Tinggi Kalori",IF(nutrition!$B1197&gt;100,"Kalori Sedang","Rendah Kalori"))</f>
        <v>Rendah Kalori</v>
      </c>
      <c r="H1197" s="27" t="s">
        <v>1201</v>
      </c>
    </row>
    <row r="1198" spans="1:8" x14ac:dyDescent="0.3">
      <c r="A1198" s="21">
        <v>1197</v>
      </c>
      <c r="B1198" s="22">
        <v>76</v>
      </c>
      <c r="C1198" s="22">
        <v>9</v>
      </c>
      <c r="D1198" s="22">
        <v>26</v>
      </c>
      <c r="E1198" s="22">
        <v>64</v>
      </c>
      <c r="F1198" s="24" t="str">
        <f>PROPER(nutrition!$H1198)</f>
        <v>Taoge Kacang Kedelai Segar</v>
      </c>
      <c r="G1198" s="22" t="str">
        <f>IF(nutrition!$B1198&gt;300,"Tinggi Kalori",IF(nutrition!$B1198&gt;100,"Kalori Sedang","Rendah Kalori"))</f>
        <v>Rendah Kalori</v>
      </c>
      <c r="H1198" s="23" t="s">
        <v>1202</v>
      </c>
    </row>
    <row r="1199" spans="1:8" x14ac:dyDescent="0.3">
      <c r="A1199" s="25">
        <v>1198</v>
      </c>
      <c r="B1199" s="26">
        <v>28</v>
      </c>
      <c r="C1199" s="26">
        <v>3</v>
      </c>
      <c r="D1199" s="26">
        <v>8</v>
      </c>
      <c r="E1199" s="26">
        <v>4</v>
      </c>
      <c r="F1199" s="28" t="str">
        <f>PROPER(nutrition!$H1199)</f>
        <v>Taoge Seduh</v>
      </c>
      <c r="G1199" s="26" t="str">
        <f>IF(nutrition!$B1199&gt;300,"Tinggi Kalori",IF(nutrition!$B1199&gt;100,"Kalori Sedang","Rendah Kalori"))</f>
        <v>Rendah Kalori</v>
      </c>
      <c r="H1199" s="27" t="s">
        <v>1203</v>
      </c>
    </row>
    <row r="1200" spans="1:8" x14ac:dyDescent="0.3">
      <c r="A1200" s="21">
        <v>1199</v>
      </c>
      <c r="B1200" s="22">
        <v>34</v>
      </c>
      <c r="C1200" s="22">
        <v>37</v>
      </c>
      <c r="D1200" s="22">
        <v>12</v>
      </c>
      <c r="E1200" s="22">
        <v>43</v>
      </c>
      <c r="F1200" s="24" t="str">
        <f>PROPER(nutrition!$H1200)</f>
        <v>Taoge Segar</v>
      </c>
      <c r="G1200" s="22" t="str">
        <f>IF(nutrition!$B1200&gt;300,"Tinggi Kalori",IF(nutrition!$B1200&gt;100,"Kalori Sedang","Rendah Kalori"))</f>
        <v>Rendah Kalori</v>
      </c>
      <c r="H1200" s="23" t="s">
        <v>1204</v>
      </c>
    </row>
    <row r="1201" spans="1:8" x14ac:dyDescent="0.3">
      <c r="A1201" s="25">
        <v>1200</v>
      </c>
      <c r="B1201" s="26">
        <v>104</v>
      </c>
      <c r="C1201" s="26">
        <v>129</v>
      </c>
      <c r="D1201" s="26">
        <v>68</v>
      </c>
      <c r="E1201" s="26">
        <v>12</v>
      </c>
      <c r="F1201" s="28" t="str">
        <f>PROPER(nutrition!$H1201)</f>
        <v>Taokoa</v>
      </c>
      <c r="G1201" s="26" t="str">
        <f>IF(nutrition!$B1201&gt;300,"Tinggi Kalori",IF(nutrition!$B1201&gt;100,"Kalori Sedang","Rendah Kalori"))</f>
        <v>Kalori Sedang</v>
      </c>
      <c r="H1201" s="27" t="s">
        <v>1205</v>
      </c>
    </row>
    <row r="1202" spans="1:8" x14ac:dyDescent="0.3">
      <c r="A1202" s="21">
        <v>1201</v>
      </c>
      <c r="B1202" s="22">
        <v>99</v>
      </c>
      <c r="C1202" s="22">
        <v>17</v>
      </c>
      <c r="D1202" s="22">
        <v>3</v>
      </c>
      <c r="E1202" s="22">
        <v>224</v>
      </c>
      <c r="F1202" s="24" t="str">
        <f>PROPER(nutrition!$H1202)</f>
        <v>Tapai Beras</v>
      </c>
      <c r="G1202" s="22" t="str">
        <f>IF(nutrition!$B1202&gt;300,"Tinggi Kalori",IF(nutrition!$B1202&gt;100,"Kalori Sedang","Rendah Kalori"))</f>
        <v>Rendah Kalori</v>
      </c>
      <c r="H1202" s="23" t="s">
        <v>1206</v>
      </c>
    </row>
    <row r="1203" spans="1:8" x14ac:dyDescent="0.3">
      <c r="A1203" s="25">
        <v>1202</v>
      </c>
      <c r="B1203" s="26">
        <v>166</v>
      </c>
      <c r="C1203" s="26">
        <v>38</v>
      </c>
      <c r="D1203" s="26">
        <v>1</v>
      </c>
      <c r="E1203" s="26">
        <v>344</v>
      </c>
      <c r="F1203" s="28" t="str">
        <f>PROPER(nutrition!$H1203)</f>
        <v>Tapai Ketan Hitam</v>
      </c>
      <c r="G1203" s="26" t="str">
        <f>IF(nutrition!$B1203&gt;300,"Tinggi Kalori",IF(nutrition!$B1203&gt;100,"Kalori Sedang","Rendah Kalori"))</f>
        <v>Kalori Sedang</v>
      </c>
      <c r="H1203" s="27" t="s">
        <v>1207</v>
      </c>
    </row>
    <row r="1204" spans="1:8" x14ac:dyDescent="0.3">
      <c r="A1204" s="21">
        <v>1203</v>
      </c>
      <c r="B1204" s="22">
        <v>172</v>
      </c>
      <c r="C1204" s="22">
        <v>3</v>
      </c>
      <c r="D1204" s="22">
        <v>5</v>
      </c>
      <c r="E1204" s="22">
        <v>375</v>
      </c>
      <c r="F1204" s="24" t="str">
        <f>PROPER(nutrition!$H1204)</f>
        <v>Tapai Ketan Putih</v>
      </c>
      <c r="G1204" s="22" t="str">
        <f>IF(nutrition!$B1204&gt;300,"Tinggi Kalori",IF(nutrition!$B1204&gt;100,"Kalori Sedang","Rendah Kalori"))</f>
        <v>Kalori Sedang</v>
      </c>
      <c r="H1204" s="23" t="s">
        <v>1208</v>
      </c>
    </row>
    <row r="1205" spans="1:8" x14ac:dyDescent="0.3">
      <c r="A1205" s="25">
        <v>1204</v>
      </c>
      <c r="B1205" s="26">
        <v>169</v>
      </c>
      <c r="C1205" s="26">
        <v>14</v>
      </c>
      <c r="D1205" s="26">
        <v>3</v>
      </c>
      <c r="E1205" s="26">
        <v>402</v>
      </c>
      <c r="F1205" s="28" t="str">
        <f>PROPER(nutrition!$H1205)</f>
        <v>Tapai Singkong</v>
      </c>
      <c r="G1205" s="26" t="str">
        <f>IF(nutrition!$B1205&gt;300,"Tinggi Kalori",IF(nutrition!$B1205&gt;100,"Kalori Sedang","Rendah Kalori"))</f>
        <v>Kalori Sedang</v>
      </c>
      <c r="H1205" s="27" t="s">
        <v>1209</v>
      </c>
    </row>
    <row r="1206" spans="1:8" x14ac:dyDescent="0.3">
      <c r="A1206" s="21">
        <v>1205</v>
      </c>
      <c r="B1206" s="22">
        <v>358</v>
      </c>
      <c r="C1206" s="22">
        <v>75</v>
      </c>
      <c r="D1206" s="22">
        <v>43</v>
      </c>
      <c r="E1206" s="22">
        <v>704</v>
      </c>
      <c r="F1206" s="24" t="str">
        <f>PROPER(nutrition!$H1206)</f>
        <v>Tauco Cap Das Cake</v>
      </c>
      <c r="G1206" s="22" t="str">
        <f>IF(nutrition!$B1206&gt;300,"Tinggi Kalori",IF(nutrition!$B1206&gt;100,"Kalori Sedang","Rendah Kalori"))</f>
        <v>Tinggi Kalori</v>
      </c>
      <c r="H1206" s="23" t="s">
        <v>1210</v>
      </c>
    </row>
    <row r="1207" spans="1:8" x14ac:dyDescent="0.3">
      <c r="A1207" s="25">
        <v>1206</v>
      </c>
      <c r="B1207" s="26">
        <v>277</v>
      </c>
      <c r="C1207" s="26">
        <v>91</v>
      </c>
      <c r="D1207" s="26">
        <v>47</v>
      </c>
      <c r="E1207" s="26">
        <v>496</v>
      </c>
      <c r="F1207" s="28" t="str">
        <f>PROPER(nutrition!$H1207)</f>
        <v>Tauji Cap Singa</v>
      </c>
      <c r="G1207" s="26" t="str">
        <f>IF(nutrition!$B1207&gt;300,"Tinggi Kalori",IF(nutrition!$B1207&gt;100,"Kalori Sedang","Rendah Kalori"))</f>
        <v>Kalori Sedang</v>
      </c>
      <c r="H1207" s="27" t="s">
        <v>1211</v>
      </c>
    </row>
    <row r="1208" spans="1:8" x14ac:dyDescent="0.3">
      <c r="A1208" s="21">
        <v>1207</v>
      </c>
      <c r="B1208" s="22">
        <v>25</v>
      </c>
      <c r="C1208" s="22">
        <v>46</v>
      </c>
      <c r="D1208" s="22">
        <v>4</v>
      </c>
      <c r="E1208" s="22">
        <v>3</v>
      </c>
      <c r="F1208" s="24" t="str">
        <f>PROPER(nutrition!$H1208)</f>
        <v>Tebu Terubuk</v>
      </c>
      <c r="G1208" s="22" t="str">
        <f>IF(nutrition!$B1208&gt;300,"Tinggi Kalori",IF(nutrition!$B1208&gt;100,"Kalori Sedang","Rendah Kalori"))</f>
        <v>Rendah Kalori</v>
      </c>
      <c r="H1208" s="23" t="s">
        <v>1212</v>
      </c>
    </row>
    <row r="1209" spans="1:8" x14ac:dyDescent="0.3">
      <c r="A1209" s="25">
        <v>1208</v>
      </c>
      <c r="B1209" s="26">
        <v>83</v>
      </c>
      <c r="C1209" s="26">
        <v>104</v>
      </c>
      <c r="D1209" s="26">
        <v>34</v>
      </c>
      <c r="E1209" s="26">
        <v>28</v>
      </c>
      <c r="F1209" s="28" t="str">
        <f>PROPER(nutrition!$H1209)</f>
        <v>Tedong Pallu Basa Masakan</v>
      </c>
      <c r="G1209" s="26" t="str">
        <f>IF(nutrition!$B1209&gt;300,"Tinggi Kalori",IF(nutrition!$B1209&gt;100,"Kalori Sedang","Rendah Kalori"))</f>
        <v>Rendah Kalori</v>
      </c>
      <c r="H1209" s="27" t="s">
        <v>1213</v>
      </c>
    </row>
    <row r="1210" spans="1:8" x14ac:dyDescent="0.3">
      <c r="A1210" s="21">
        <v>1209</v>
      </c>
      <c r="B1210" s="22">
        <v>132</v>
      </c>
      <c r="C1210" s="22">
        <v>195</v>
      </c>
      <c r="D1210" s="22">
        <v>7</v>
      </c>
      <c r="E1210" s="22">
        <v>678</v>
      </c>
      <c r="F1210" s="24" t="str">
        <f>PROPER(nutrition!$H1210)</f>
        <v>Teh</v>
      </c>
      <c r="G1210" s="22" t="str">
        <f>IF(nutrition!$B1210&gt;300,"Tinggi Kalori",IF(nutrition!$B1210&gt;100,"Kalori Sedang","Rendah Kalori"))</f>
        <v>Kalori Sedang</v>
      </c>
      <c r="H1210" s="23" t="s">
        <v>1214</v>
      </c>
    </row>
    <row r="1211" spans="1:8" x14ac:dyDescent="0.3">
      <c r="A1211" s="25">
        <v>1210</v>
      </c>
      <c r="B1211" s="26">
        <v>300</v>
      </c>
      <c r="C1211" s="26">
        <v>283</v>
      </c>
      <c r="D1211" s="26">
        <v>48</v>
      </c>
      <c r="E1211" s="26">
        <v>536</v>
      </c>
      <c r="F1211" s="28" t="str">
        <f>PROPER(nutrition!$H1211)</f>
        <v>Teh Hijau Daun Kering</v>
      </c>
      <c r="G1211" s="26" t="str">
        <f>IF(nutrition!$B1211&gt;300,"Tinggi Kalori",IF(nutrition!$B1211&gt;100,"Kalori Sedang","Rendah Kalori"))</f>
        <v>Kalori Sedang</v>
      </c>
      <c r="H1211" s="27" t="s">
        <v>1215</v>
      </c>
    </row>
    <row r="1212" spans="1:8" x14ac:dyDescent="0.3">
      <c r="A1212" s="21">
        <v>1211</v>
      </c>
      <c r="B1212" s="22">
        <v>299</v>
      </c>
      <c r="C1212" s="22">
        <v>241</v>
      </c>
      <c r="D1212" s="22">
        <v>35</v>
      </c>
      <c r="E1212" s="22">
        <v>59</v>
      </c>
      <c r="F1212" s="24" t="str">
        <f>PROPER(nutrition!$H1212)</f>
        <v>Teh Melati Daun Kering</v>
      </c>
      <c r="G1212" s="22" t="str">
        <f>IF(nutrition!$B1212&gt;300,"Tinggi Kalori",IF(nutrition!$B1212&gt;100,"Kalori Sedang","Rendah Kalori"))</f>
        <v>Kalori Sedang</v>
      </c>
      <c r="H1212" s="23" t="s">
        <v>1216</v>
      </c>
    </row>
    <row r="1213" spans="1:8" x14ac:dyDescent="0.3">
      <c r="A1213" s="25">
        <v>1212</v>
      </c>
      <c r="B1213" s="26">
        <v>34</v>
      </c>
      <c r="C1213" s="26">
        <v>2</v>
      </c>
      <c r="D1213" s="26">
        <v>1</v>
      </c>
      <c r="E1213" s="26">
        <v>79</v>
      </c>
      <c r="F1213" s="28" t="str">
        <f>PROPER(nutrition!$H1213)</f>
        <v>Tekokak</v>
      </c>
      <c r="G1213" s="26" t="str">
        <f>IF(nutrition!$B1213&gt;300,"Tinggi Kalori",IF(nutrition!$B1213&gt;100,"Kalori Sedang","Rendah Kalori"))</f>
        <v>Rendah Kalori</v>
      </c>
      <c r="H1213" s="27" t="s">
        <v>1217</v>
      </c>
    </row>
    <row r="1214" spans="1:8" x14ac:dyDescent="0.3">
      <c r="A1214" s="21">
        <v>1213</v>
      </c>
      <c r="B1214" s="22">
        <v>294</v>
      </c>
      <c r="C1214" s="22">
        <v>83</v>
      </c>
      <c r="D1214" s="22">
        <v>17</v>
      </c>
      <c r="E1214" s="22">
        <v>726</v>
      </c>
      <c r="F1214" s="24" t="str">
        <f>PROPER(nutrition!$H1214)</f>
        <v>Tekokak Kering</v>
      </c>
      <c r="G1214" s="22" t="str">
        <f>IF(nutrition!$B1214&gt;300,"Tinggi Kalori",IF(nutrition!$B1214&gt;100,"Kalori Sedang","Rendah Kalori"))</f>
        <v>Kalori Sedang</v>
      </c>
      <c r="H1214" s="23" t="s">
        <v>1218</v>
      </c>
    </row>
    <row r="1215" spans="1:8" x14ac:dyDescent="0.3">
      <c r="A1215" s="25">
        <v>1214</v>
      </c>
      <c r="B1215" s="26">
        <v>53</v>
      </c>
      <c r="C1215" s="26">
        <v>19</v>
      </c>
      <c r="D1215" s="26">
        <v>9</v>
      </c>
      <c r="E1215" s="26">
        <v>94</v>
      </c>
      <c r="F1215" s="28" t="str">
        <f>PROPER(nutrition!$H1215)</f>
        <v>Tekwan</v>
      </c>
      <c r="G1215" s="26" t="str">
        <f>IF(nutrition!$B1215&gt;300,"Tinggi Kalori",IF(nutrition!$B1215&gt;100,"Kalori Sedang","Rendah Kalori"))</f>
        <v>Rendah Kalori</v>
      </c>
      <c r="H1215" s="27" t="s">
        <v>1219</v>
      </c>
    </row>
    <row r="1216" spans="1:8" x14ac:dyDescent="0.3">
      <c r="A1216" s="21">
        <v>1215</v>
      </c>
      <c r="B1216" s="22">
        <v>162</v>
      </c>
      <c r="C1216" s="22">
        <v>128</v>
      </c>
      <c r="D1216" s="22">
        <v>115</v>
      </c>
      <c r="E1216" s="22">
        <v>7</v>
      </c>
      <c r="F1216" s="24" t="str">
        <f>PROPER(nutrition!$H1216)</f>
        <v>Telur Ayam</v>
      </c>
      <c r="G1216" s="22" t="str">
        <f>IF(nutrition!$B1216&gt;300,"Tinggi Kalori",IF(nutrition!$B1216&gt;100,"Kalori Sedang","Rendah Kalori"))</f>
        <v>Kalori Sedang</v>
      </c>
      <c r="H1216" s="23" t="s">
        <v>1220</v>
      </c>
    </row>
    <row r="1217" spans="1:8" x14ac:dyDescent="0.3">
      <c r="A1217" s="25">
        <v>1216</v>
      </c>
      <c r="B1217" s="26">
        <v>361</v>
      </c>
      <c r="C1217" s="26">
        <v>193</v>
      </c>
      <c r="D1217" s="26">
        <v>319</v>
      </c>
      <c r="E1217" s="26">
        <v>7</v>
      </c>
      <c r="F1217" s="28" t="str">
        <f>PROPER(nutrition!$H1217)</f>
        <v>Telur Ayam Bagian Kuning</v>
      </c>
      <c r="G1217" s="26" t="str">
        <f>IF(nutrition!$B1217&gt;300,"Tinggi Kalori",IF(nutrition!$B1217&gt;100,"Kalori Sedang","Rendah Kalori"))</f>
        <v>Tinggi Kalori</v>
      </c>
      <c r="H1217" s="27" t="s">
        <v>1221</v>
      </c>
    </row>
    <row r="1218" spans="1:8" x14ac:dyDescent="0.3">
      <c r="A1218" s="21">
        <v>1217</v>
      </c>
      <c r="B1218" s="22">
        <v>50</v>
      </c>
      <c r="C1218" s="22">
        <v>108</v>
      </c>
      <c r="D1218" s="22">
        <v>0</v>
      </c>
      <c r="E1218" s="22">
        <v>8</v>
      </c>
      <c r="F1218" s="24" t="str">
        <f>PROPER(nutrition!$H1218)</f>
        <v>Telur Ayam Bagian Putih</v>
      </c>
      <c r="G1218" s="22" t="str">
        <f>IF(nutrition!$B1218&gt;300,"Tinggi Kalori",IF(nutrition!$B1218&gt;100,"Kalori Sedang","Rendah Kalori"))</f>
        <v>Rendah Kalori</v>
      </c>
      <c r="H1218" s="23" t="s">
        <v>1222</v>
      </c>
    </row>
    <row r="1219" spans="1:8" x14ac:dyDescent="0.3">
      <c r="A1219" s="25">
        <v>1218</v>
      </c>
      <c r="B1219" s="26">
        <v>383</v>
      </c>
      <c r="C1219" s="26">
        <v>151</v>
      </c>
      <c r="D1219" s="26">
        <v>329</v>
      </c>
      <c r="E1219" s="26">
        <v>83</v>
      </c>
      <c r="F1219" s="28" t="str">
        <f>PROPER(nutrition!$H1219)</f>
        <v>Telur Ayam Ceplok</v>
      </c>
      <c r="G1219" s="26" t="str">
        <f>IF(nutrition!$B1219&gt;300,"Tinggi Kalori",IF(nutrition!$B1219&gt;100,"Kalori Sedang","Rendah Kalori"))</f>
        <v>Tinggi Kalori</v>
      </c>
      <c r="H1219" s="27" t="s">
        <v>1223</v>
      </c>
    </row>
    <row r="1220" spans="1:8" x14ac:dyDescent="0.3">
      <c r="A1220" s="21">
        <v>1219</v>
      </c>
      <c r="B1220" s="22">
        <v>251</v>
      </c>
      <c r="C1220" s="22">
        <v>163</v>
      </c>
      <c r="D1220" s="22">
        <v>194</v>
      </c>
      <c r="E1220" s="22">
        <v>14</v>
      </c>
      <c r="F1220" s="24" t="str">
        <f>PROPER(nutrition!$H1220)</f>
        <v>Telur Ayam Dadar</v>
      </c>
      <c r="G1220" s="22" t="str">
        <f>IF(nutrition!$B1220&gt;300,"Tinggi Kalori",IF(nutrition!$B1220&gt;100,"Kalori Sedang","Rendah Kalori"))</f>
        <v>Kalori Sedang</v>
      </c>
      <c r="H1220" s="23" t="s">
        <v>1224</v>
      </c>
    </row>
    <row r="1221" spans="1:8" x14ac:dyDescent="0.3">
      <c r="A1221" s="25">
        <v>1220</v>
      </c>
      <c r="B1221" s="26">
        <v>179</v>
      </c>
      <c r="C1221" s="26">
        <v>136</v>
      </c>
      <c r="D1221" s="26">
        <v>133</v>
      </c>
      <c r="E1221" s="26">
        <v>44</v>
      </c>
      <c r="F1221" s="28" t="str">
        <f>PROPER(nutrition!$H1221)</f>
        <v xml:space="preserve">Telur Ayam Kampung </v>
      </c>
      <c r="G1221" s="26" t="str">
        <f>IF(nutrition!$B1221&gt;300,"Tinggi Kalori",IF(nutrition!$B1221&gt;100,"Kalori Sedang","Rendah Kalori"))</f>
        <v>Kalori Sedang</v>
      </c>
      <c r="H1221" s="27" t="s">
        <v>1225</v>
      </c>
    </row>
    <row r="1222" spans="1:8" x14ac:dyDescent="0.3">
      <c r="A1222" s="21">
        <v>1221</v>
      </c>
      <c r="B1222" s="22">
        <v>386</v>
      </c>
      <c r="C1222" s="22">
        <v>17</v>
      </c>
      <c r="D1222" s="22">
        <v>35</v>
      </c>
      <c r="E1222" s="22">
        <v>8</v>
      </c>
      <c r="F1222" s="24" t="str">
        <f>PROPER(nutrition!$H1222)</f>
        <v>Telur Bebek Bagian Kuning Segar</v>
      </c>
      <c r="G1222" s="22" t="str">
        <f>IF(nutrition!$B1222&gt;300,"Tinggi Kalori",IF(nutrition!$B1222&gt;100,"Kalori Sedang","Rendah Kalori"))</f>
        <v>Tinggi Kalori</v>
      </c>
      <c r="H1222" s="23" t="s">
        <v>1226</v>
      </c>
    </row>
    <row r="1223" spans="1:8" x14ac:dyDescent="0.3">
      <c r="A1223" s="25">
        <v>1222</v>
      </c>
      <c r="B1223" s="26">
        <v>54</v>
      </c>
      <c r="C1223" s="26">
        <v>11</v>
      </c>
      <c r="D1223" s="26">
        <v>0</v>
      </c>
      <c r="E1223" s="26">
        <v>8</v>
      </c>
      <c r="F1223" s="28" t="str">
        <f>PROPER(nutrition!$H1223)</f>
        <v>Telur Bebek Bagian Putih</v>
      </c>
      <c r="G1223" s="26" t="str">
        <f>IF(nutrition!$B1223&gt;300,"Tinggi Kalori",IF(nutrition!$B1223&gt;100,"Kalori Sedang","Rendah Kalori"))</f>
        <v>Rendah Kalori</v>
      </c>
      <c r="H1223" s="27" t="s">
        <v>1227</v>
      </c>
    </row>
    <row r="1224" spans="1:8" x14ac:dyDescent="0.3">
      <c r="A1224" s="21">
        <v>1223</v>
      </c>
      <c r="B1224" s="22">
        <v>54</v>
      </c>
      <c r="C1224" s="22">
        <v>11</v>
      </c>
      <c r="D1224" s="22">
        <v>0</v>
      </c>
      <c r="E1224" s="22">
        <v>8</v>
      </c>
      <c r="F1224" s="24" t="str">
        <f>PROPER(nutrition!$H1224)</f>
        <v>Telur Bebek Bagian Putih Segar</v>
      </c>
      <c r="G1224" s="22" t="str">
        <f>IF(nutrition!$B1224&gt;300,"Tinggi Kalori",IF(nutrition!$B1224&gt;100,"Kalori Sedang","Rendah Kalori"))</f>
        <v>Rendah Kalori</v>
      </c>
      <c r="H1224" s="23" t="s">
        <v>1228</v>
      </c>
    </row>
    <row r="1225" spans="1:8" x14ac:dyDescent="0.3">
      <c r="A1225" s="25">
        <v>1224</v>
      </c>
      <c r="B1225" s="26">
        <v>320</v>
      </c>
      <c r="C1225" s="26">
        <v>151</v>
      </c>
      <c r="D1225" s="26">
        <v>305</v>
      </c>
      <c r="E1225" s="26">
        <v>9</v>
      </c>
      <c r="F1225" s="28" t="str">
        <f>PROPER(nutrition!$H1225)</f>
        <v>Telur Bebek Ceplok</v>
      </c>
      <c r="G1225" s="26" t="str">
        <f>IF(nutrition!$B1225&gt;300,"Tinggi Kalori",IF(nutrition!$B1225&gt;100,"Kalori Sedang","Rendah Kalori"))</f>
        <v>Tinggi Kalori</v>
      </c>
      <c r="H1225" s="27" t="s">
        <v>1229</v>
      </c>
    </row>
    <row r="1226" spans="1:8" x14ac:dyDescent="0.3">
      <c r="A1226" s="21">
        <v>1225</v>
      </c>
      <c r="B1226" s="22">
        <v>301</v>
      </c>
      <c r="C1226" s="22">
        <v>20</v>
      </c>
      <c r="D1226" s="22">
        <v>237</v>
      </c>
      <c r="E1226" s="22">
        <v>0</v>
      </c>
      <c r="F1226" s="24" t="str">
        <f>PROPER(nutrition!$H1226)</f>
        <v>Telur Bebek Dadar</v>
      </c>
      <c r="G1226" s="22" t="str">
        <f>IF(nutrition!$B1226&gt;300,"Tinggi Kalori",IF(nutrition!$B1226&gt;100,"Kalori Sedang","Rendah Kalori"))</f>
        <v>Tinggi Kalori</v>
      </c>
      <c r="H1226" s="23" t="s">
        <v>1230</v>
      </c>
    </row>
    <row r="1227" spans="1:8" x14ac:dyDescent="0.3">
      <c r="A1227" s="25">
        <v>1226</v>
      </c>
      <c r="B1227" s="26">
        <v>187</v>
      </c>
      <c r="C1227" s="26">
        <v>109</v>
      </c>
      <c r="D1227" s="26">
        <v>124</v>
      </c>
      <c r="E1227" s="26">
        <v>79</v>
      </c>
      <c r="F1227" s="28" t="str">
        <f>PROPER(nutrition!$H1227)</f>
        <v>Telur Bebek Tambak Segar</v>
      </c>
      <c r="G1227" s="26" t="str">
        <f>IF(nutrition!$B1227&gt;300,"Tinggi Kalori",IF(nutrition!$B1227&gt;100,"Kalori Sedang","Rendah Kalori"))</f>
        <v>Kalori Sedang</v>
      </c>
      <c r="H1227" s="27" t="s">
        <v>1231</v>
      </c>
    </row>
    <row r="1228" spans="1:8" x14ac:dyDescent="0.3">
      <c r="A1228" s="21">
        <v>1227</v>
      </c>
      <c r="B1228" s="22">
        <v>195</v>
      </c>
      <c r="C1228" s="22">
        <v>136</v>
      </c>
      <c r="D1228" s="22">
        <v>136</v>
      </c>
      <c r="E1228" s="22">
        <v>14</v>
      </c>
      <c r="F1228" s="24" t="str">
        <f>PROPER(nutrition!$H1228)</f>
        <v>Telur Bebek Telur Asin</v>
      </c>
      <c r="G1228" s="22" t="str">
        <f>IF(nutrition!$B1228&gt;300,"Tinggi Kalori",IF(nutrition!$B1228&gt;100,"Kalori Sedang","Rendah Kalori"))</f>
        <v>Kalori Sedang</v>
      </c>
      <c r="H1228" s="23" t="s">
        <v>1232</v>
      </c>
    </row>
    <row r="1229" spans="1:8" x14ac:dyDescent="0.3">
      <c r="A1229" s="25">
        <v>1228</v>
      </c>
      <c r="B1229" s="26">
        <v>116</v>
      </c>
      <c r="C1229" s="26">
        <v>107</v>
      </c>
      <c r="D1229" s="26">
        <v>7</v>
      </c>
      <c r="E1229" s="26">
        <v>16</v>
      </c>
      <c r="F1229" s="28" t="str">
        <f>PROPER(nutrition!$H1229)</f>
        <v>Telur Burung Puyuh Segar</v>
      </c>
      <c r="G1229" s="26" t="str">
        <f>IF(nutrition!$B1229&gt;300,"Tinggi Kalori",IF(nutrition!$B1229&gt;100,"Kalori Sedang","Rendah Kalori"))</f>
        <v>Kalori Sedang</v>
      </c>
      <c r="H1229" s="27" t="s">
        <v>1233</v>
      </c>
    </row>
    <row r="1230" spans="1:8" x14ac:dyDescent="0.3">
      <c r="A1230" s="21">
        <v>1229</v>
      </c>
      <c r="B1230" s="22">
        <v>144</v>
      </c>
      <c r="C1230" s="22">
        <v>12</v>
      </c>
      <c r="D1230" s="22">
        <v>102</v>
      </c>
      <c r="E1230" s="22">
        <v>0</v>
      </c>
      <c r="F1230" s="24" t="str">
        <f>PROPER(nutrition!$H1230)</f>
        <v>Telur Penyu</v>
      </c>
      <c r="G1230" s="22" t="str">
        <f>IF(nutrition!$B1230&gt;300,"Tinggi Kalori",IF(nutrition!$B1230&gt;100,"Kalori Sedang","Rendah Kalori"))</f>
        <v>Kalori Sedang</v>
      </c>
      <c r="H1230" s="23" t="s">
        <v>1234</v>
      </c>
    </row>
    <row r="1231" spans="1:8" x14ac:dyDescent="0.3">
      <c r="A1231" s="25">
        <v>1230</v>
      </c>
      <c r="B1231" s="26">
        <v>425</v>
      </c>
      <c r="C1231" s="26">
        <v>31</v>
      </c>
      <c r="D1231" s="26">
        <v>28</v>
      </c>
      <c r="E1231" s="26">
        <v>10</v>
      </c>
      <c r="F1231" s="28" t="str">
        <f>PROPER(nutrition!$H1231)</f>
        <v>Telur Terubuk</v>
      </c>
      <c r="G1231" s="26" t="str">
        <f>IF(nutrition!$B1231&gt;300,"Tinggi Kalori",IF(nutrition!$B1231&gt;100,"Kalori Sedang","Rendah Kalori"))</f>
        <v>Tinggi Kalori</v>
      </c>
      <c r="H1231" s="27" t="s">
        <v>1235</v>
      </c>
    </row>
    <row r="1232" spans="1:8" x14ac:dyDescent="0.3">
      <c r="A1232" s="21">
        <v>1231</v>
      </c>
      <c r="B1232" s="22">
        <v>119</v>
      </c>
      <c r="C1232" s="22">
        <v>44</v>
      </c>
      <c r="D1232" s="22">
        <v>35</v>
      </c>
      <c r="E1232" s="22">
        <v>183</v>
      </c>
      <c r="F1232" s="24" t="str">
        <f>PROPER(nutrition!$H1232)</f>
        <v>Tempe Bongkrek</v>
      </c>
      <c r="G1232" s="22" t="str">
        <f>IF(nutrition!$B1232&gt;300,"Tinggi Kalori",IF(nutrition!$B1232&gt;100,"Kalori Sedang","Rendah Kalori"))</f>
        <v>Kalori Sedang</v>
      </c>
      <c r="H1232" s="23" t="s">
        <v>1236</v>
      </c>
    </row>
    <row r="1233" spans="1:8" x14ac:dyDescent="0.3">
      <c r="A1233" s="25">
        <v>1232</v>
      </c>
      <c r="B1233" s="26">
        <v>73</v>
      </c>
      <c r="C1233" s="26">
        <v>57</v>
      </c>
      <c r="D1233" s="26">
        <v>13</v>
      </c>
      <c r="E1233" s="26">
        <v>42</v>
      </c>
      <c r="F1233" s="28" t="str">
        <f>PROPER(nutrition!$H1233)</f>
        <v>Tempe Gembus</v>
      </c>
      <c r="G1233" s="26" t="str">
        <f>IF(nutrition!$B1233&gt;300,"Tinggi Kalori",IF(nutrition!$B1233&gt;100,"Kalori Sedang","Rendah Kalori"))</f>
        <v>Rendah Kalori</v>
      </c>
      <c r="H1233" s="27" t="s">
        <v>1237</v>
      </c>
    </row>
    <row r="1234" spans="1:8" x14ac:dyDescent="0.3">
      <c r="A1234" s="21">
        <v>1233</v>
      </c>
      <c r="B1234" s="22">
        <v>76</v>
      </c>
      <c r="C1234" s="22">
        <v>68</v>
      </c>
      <c r="D1234" s="22">
        <v>7</v>
      </c>
      <c r="E1234" s="22">
        <v>106</v>
      </c>
      <c r="F1234" s="24" t="str">
        <f>PROPER(nutrition!$H1234)</f>
        <v>Tempe Gembus Yogya</v>
      </c>
      <c r="G1234" s="22" t="str">
        <f>IF(nutrition!$B1234&gt;300,"Tinggi Kalori",IF(nutrition!$B1234&gt;100,"Kalori Sedang","Rendah Kalori"))</f>
        <v>Rendah Kalori</v>
      </c>
      <c r="H1234" s="23" t="s">
        <v>1238</v>
      </c>
    </row>
    <row r="1235" spans="1:8" x14ac:dyDescent="0.3">
      <c r="A1235" s="25">
        <v>1234</v>
      </c>
      <c r="B1235" s="26">
        <v>328</v>
      </c>
      <c r="C1235" s="26">
        <v>184</v>
      </c>
      <c r="D1235" s="26">
        <v>232</v>
      </c>
      <c r="E1235" s="26">
        <v>128</v>
      </c>
      <c r="F1235" s="28" t="str">
        <f>PROPER(nutrition!$H1235)</f>
        <v xml:space="preserve">Tempe Goreng </v>
      </c>
      <c r="G1235" s="26" t="str">
        <f>IF(nutrition!$B1235&gt;300,"Tinggi Kalori",IF(nutrition!$B1235&gt;100,"Kalori Sedang","Rendah Kalori"))</f>
        <v>Tinggi Kalori</v>
      </c>
      <c r="H1235" s="27" t="s">
        <v>1239</v>
      </c>
    </row>
    <row r="1236" spans="1:8" x14ac:dyDescent="0.3">
      <c r="A1236" s="21">
        <v>1235</v>
      </c>
      <c r="B1236" s="22">
        <v>139</v>
      </c>
      <c r="C1236" s="22">
        <v>125</v>
      </c>
      <c r="D1236" s="22">
        <v>8</v>
      </c>
      <c r="E1236" s="22">
        <v>219</v>
      </c>
      <c r="F1236" s="24" t="str">
        <f>PROPER(nutrition!$H1236)</f>
        <v>Tempe Kacang Babi</v>
      </c>
      <c r="G1236" s="22" t="str">
        <f>IF(nutrition!$B1236&gt;300,"Tinggi Kalori",IF(nutrition!$B1236&gt;100,"Kalori Sedang","Rendah Kalori"))</f>
        <v>Kalori Sedang</v>
      </c>
      <c r="H1236" s="23" t="s">
        <v>1240</v>
      </c>
    </row>
    <row r="1237" spans="1:8" x14ac:dyDescent="0.3">
      <c r="A1237" s="25">
        <v>1236</v>
      </c>
      <c r="B1237" s="26">
        <v>212</v>
      </c>
      <c r="C1237" s="26">
        <v>175</v>
      </c>
      <c r="D1237" s="26">
        <v>10</v>
      </c>
      <c r="E1237" s="26">
        <v>129</v>
      </c>
      <c r="F1237" s="28" t="str">
        <f>PROPER(nutrition!$H1237)</f>
        <v>Tempe Kacang Belimbing</v>
      </c>
      <c r="G1237" s="26" t="str">
        <f>IF(nutrition!$B1237&gt;300,"Tinggi Kalori",IF(nutrition!$B1237&gt;100,"Kalori Sedang","Rendah Kalori"))</f>
        <v>Kalori Sedang</v>
      </c>
      <c r="H1237" s="27" t="s">
        <v>1241</v>
      </c>
    </row>
    <row r="1238" spans="1:8" x14ac:dyDescent="0.3">
      <c r="A1238" s="21">
        <v>1237</v>
      </c>
      <c r="B1238" s="22">
        <v>143</v>
      </c>
      <c r="C1238" s="22">
        <v>12</v>
      </c>
      <c r="D1238" s="22">
        <v>55</v>
      </c>
      <c r="E1238" s="22">
        <v>114</v>
      </c>
      <c r="F1238" s="24" t="str">
        <f>PROPER(nutrition!$H1238)</f>
        <v>Tempe Kedelai + Jagung</v>
      </c>
      <c r="G1238" s="22" t="str">
        <f>IF(nutrition!$B1238&gt;300,"Tinggi Kalori",IF(nutrition!$B1238&gt;100,"Kalori Sedang","Rendah Kalori"))</f>
        <v>Kalori Sedang</v>
      </c>
      <c r="H1238" s="23" t="s">
        <v>1242</v>
      </c>
    </row>
    <row r="1239" spans="1:8" x14ac:dyDescent="0.3">
      <c r="A1239" s="25">
        <v>1238</v>
      </c>
      <c r="B1239" s="26">
        <v>350</v>
      </c>
      <c r="C1239" s="26">
        <v>245</v>
      </c>
      <c r="D1239" s="26">
        <v>266</v>
      </c>
      <c r="E1239" s="26">
        <v>104</v>
      </c>
      <c r="F1239" s="28" t="str">
        <f>PROPER(nutrition!$H1239)</f>
        <v>Tempe Kedelai Murni Goreng</v>
      </c>
      <c r="G1239" s="26" t="str">
        <f>IF(nutrition!$B1239&gt;300,"Tinggi Kalori",IF(nutrition!$B1239&gt;100,"Kalori Sedang","Rendah Kalori"))</f>
        <v>Tinggi Kalori</v>
      </c>
      <c r="H1239" s="27" t="s">
        <v>1243</v>
      </c>
    </row>
    <row r="1240" spans="1:8" x14ac:dyDescent="0.3">
      <c r="A1240" s="21">
        <v>1239</v>
      </c>
      <c r="B1240" s="22">
        <v>201</v>
      </c>
      <c r="C1240" s="22">
        <v>208</v>
      </c>
      <c r="D1240" s="22">
        <v>88</v>
      </c>
      <c r="E1240" s="22">
        <v>135</v>
      </c>
      <c r="F1240" s="24" t="str">
        <f>PROPER(nutrition!$H1240)</f>
        <v>Tempe Kedelai Murni Mentah</v>
      </c>
      <c r="G1240" s="22" t="str">
        <f>IF(nutrition!$B1240&gt;300,"Tinggi Kalori",IF(nutrition!$B1240&gt;100,"Kalori Sedang","Rendah Kalori"))</f>
        <v>Kalori Sedang</v>
      </c>
      <c r="H1240" s="23" t="s">
        <v>1244</v>
      </c>
    </row>
    <row r="1241" spans="1:8" x14ac:dyDescent="0.3">
      <c r="A1241" s="25">
        <v>1240</v>
      </c>
      <c r="B1241" s="26">
        <v>141</v>
      </c>
      <c r="C1241" s="26">
        <v>102</v>
      </c>
      <c r="D1241" s="26">
        <v>13</v>
      </c>
      <c r="E1241" s="26">
        <v>232</v>
      </c>
      <c r="F1241" s="28" t="str">
        <f>PROPER(nutrition!$H1241)</f>
        <v>Tempe Koro Benguk</v>
      </c>
      <c r="G1241" s="26" t="str">
        <f>IF(nutrition!$B1241&gt;300,"Tinggi Kalori",IF(nutrition!$B1241&gt;100,"Kalori Sedang","Rendah Kalori"))</f>
        <v>Kalori Sedang</v>
      </c>
      <c r="H1241" s="27" t="s">
        <v>1245</v>
      </c>
    </row>
    <row r="1242" spans="1:8" x14ac:dyDescent="0.3">
      <c r="A1242" s="21">
        <v>1241</v>
      </c>
      <c r="B1242" s="22">
        <v>146</v>
      </c>
      <c r="C1242" s="22">
        <v>117</v>
      </c>
      <c r="D1242" s="22">
        <v>23</v>
      </c>
      <c r="E1242" s="22">
        <v>196</v>
      </c>
      <c r="F1242" s="24" t="str">
        <f>PROPER(nutrition!$H1242)</f>
        <v>Tempe Lamtoro Var. Gung Dengan Kulit</v>
      </c>
      <c r="G1242" s="22" t="str">
        <f>IF(nutrition!$B1242&gt;300,"Tinggi Kalori",IF(nutrition!$B1242&gt;100,"Kalori Sedang","Rendah Kalori"))</f>
        <v>Kalori Sedang</v>
      </c>
      <c r="H1242" s="23" t="s">
        <v>1246</v>
      </c>
    </row>
    <row r="1243" spans="1:8" x14ac:dyDescent="0.3">
      <c r="A1243" s="25">
        <v>1242</v>
      </c>
      <c r="B1243" s="26">
        <v>131</v>
      </c>
      <c r="C1243" s="26">
        <v>18</v>
      </c>
      <c r="D1243" s="26">
        <v>8</v>
      </c>
      <c r="E1243" s="26">
        <v>13</v>
      </c>
      <c r="F1243" s="28" t="str">
        <f>PROPER(nutrition!$H1243)</f>
        <v>Tempe Lamtoro Var. Gung Tanpa Kulit</v>
      </c>
      <c r="G1243" s="26" t="str">
        <f>IF(nutrition!$B1243&gt;300,"Tinggi Kalori",IF(nutrition!$B1243&gt;100,"Kalori Sedang","Rendah Kalori"))</f>
        <v>Kalori Sedang</v>
      </c>
      <c r="H1243" s="27" t="s">
        <v>1247</v>
      </c>
    </row>
    <row r="1244" spans="1:8" x14ac:dyDescent="0.3">
      <c r="A1244" s="21">
        <v>1243</v>
      </c>
      <c r="B1244" s="22">
        <v>150</v>
      </c>
      <c r="C1244" s="22">
        <v>14</v>
      </c>
      <c r="D1244" s="22">
        <v>77</v>
      </c>
      <c r="E1244" s="22">
        <v>91</v>
      </c>
      <c r="F1244" s="24" t="str">
        <f>PROPER(nutrition!$H1244)</f>
        <v>Tempe Pasar Segar</v>
      </c>
      <c r="G1244" s="22" t="str">
        <f>IF(nutrition!$B1244&gt;300,"Tinggi Kalori",IF(nutrition!$B1244&gt;100,"Kalori Sedang","Rendah Kalori"))</f>
        <v>Kalori Sedang</v>
      </c>
      <c r="H1244" s="23" t="s">
        <v>1248</v>
      </c>
    </row>
    <row r="1245" spans="1:8" x14ac:dyDescent="0.3">
      <c r="A1245" s="25">
        <v>1244</v>
      </c>
      <c r="B1245" s="26">
        <v>336</v>
      </c>
      <c r="C1245" s="26">
        <v>20</v>
      </c>
      <c r="D1245" s="26">
        <v>28</v>
      </c>
      <c r="E1245" s="26">
        <v>78</v>
      </c>
      <c r="F1245" s="28" t="str">
        <f>PROPER(nutrition!$H1245)</f>
        <v>Tempe Pasar Goreng</v>
      </c>
      <c r="G1245" s="26" t="str">
        <f>IF(nutrition!$B1245&gt;300,"Tinggi Kalori",IF(nutrition!$B1245&gt;100,"Kalori Sedang","Rendah Kalori"))</f>
        <v>Tinggi Kalori</v>
      </c>
      <c r="H1245" s="27" t="s">
        <v>1249</v>
      </c>
    </row>
    <row r="1246" spans="1:8" x14ac:dyDescent="0.3">
      <c r="A1246" s="21">
        <v>1245</v>
      </c>
      <c r="B1246" s="22">
        <v>240</v>
      </c>
      <c r="C1246" s="22">
        <v>6</v>
      </c>
      <c r="D1246" s="22">
        <v>27</v>
      </c>
      <c r="E1246" s="22">
        <v>493</v>
      </c>
      <c r="F1246" s="24" t="str">
        <f>PROPER(nutrition!$H1246)</f>
        <v xml:space="preserve">Tempe Sayur </v>
      </c>
      <c r="G1246" s="22" t="str">
        <f>IF(nutrition!$B1246&gt;300,"Tinggi Kalori",IF(nutrition!$B1246&gt;100,"Kalori Sedang","Rendah Kalori"))</f>
        <v>Kalori Sedang</v>
      </c>
      <c r="H1246" s="23" t="s">
        <v>1250</v>
      </c>
    </row>
    <row r="1247" spans="1:8" x14ac:dyDescent="0.3">
      <c r="A1247" s="25">
        <v>1246</v>
      </c>
      <c r="B1247" s="26">
        <v>110</v>
      </c>
      <c r="C1247" s="26">
        <v>17</v>
      </c>
      <c r="D1247" s="26">
        <v>13</v>
      </c>
      <c r="E1247" s="26">
        <v>219</v>
      </c>
      <c r="F1247" s="28" t="str">
        <f>PROPER(nutrition!$H1247)</f>
        <v>Tempoya</v>
      </c>
      <c r="G1247" s="26" t="str">
        <f>IF(nutrition!$B1247&gt;300,"Tinggi Kalori",IF(nutrition!$B1247&gt;100,"Kalori Sedang","Rendah Kalori"))</f>
        <v>Kalori Sedang</v>
      </c>
      <c r="H1247" s="27" t="s">
        <v>1251</v>
      </c>
    </row>
    <row r="1248" spans="1:8" x14ac:dyDescent="0.3">
      <c r="A1248" s="21">
        <v>1247</v>
      </c>
      <c r="B1248" s="22">
        <v>126</v>
      </c>
      <c r="C1248" s="22">
        <v>11</v>
      </c>
      <c r="D1248" s="22">
        <v>22</v>
      </c>
      <c r="E1248" s="22">
        <v>257</v>
      </c>
      <c r="F1248" s="24" t="str">
        <f>PROPER(nutrition!$H1248)</f>
        <v>Tempuyak</v>
      </c>
      <c r="G1248" s="22" t="str">
        <f>IF(nutrition!$B1248&gt;300,"Tinggi Kalori",IF(nutrition!$B1248&gt;100,"Kalori Sedang","Rendah Kalori"))</f>
        <v>Kalori Sedang</v>
      </c>
      <c r="H1248" s="23" t="s">
        <v>1252</v>
      </c>
    </row>
    <row r="1249" spans="1:8" x14ac:dyDescent="0.3">
      <c r="A1249" s="25">
        <v>1248</v>
      </c>
      <c r="B1249" s="26">
        <v>355</v>
      </c>
      <c r="C1249" s="26">
        <v>7</v>
      </c>
      <c r="D1249" s="26">
        <v>2</v>
      </c>
      <c r="E1249" s="26">
        <v>852</v>
      </c>
      <c r="F1249" s="28" t="str">
        <f>PROPER(nutrition!$H1249)</f>
        <v>Tepung Arrowroot</v>
      </c>
      <c r="G1249" s="26" t="str">
        <f>IF(nutrition!$B1249&gt;300,"Tinggi Kalori",IF(nutrition!$B1249&gt;100,"Kalori Sedang","Rendah Kalori"))</f>
        <v>Tinggi Kalori</v>
      </c>
      <c r="H1249" s="27" t="s">
        <v>1253</v>
      </c>
    </row>
    <row r="1250" spans="1:8" x14ac:dyDescent="0.3">
      <c r="A1250" s="21">
        <v>1249</v>
      </c>
      <c r="B1250" s="22">
        <v>364</v>
      </c>
      <c r="C1250" s="22">
        <v>7</v>
      </c>
      <c r="D1250" s="22">
        <v>5</v>
      </c>
      <c r="E1250" s="22">
        <v>80</v>
      </c>
      <c r="F1250" s="24" t="str">
        <f>PROPER(nutrition!$H1250)</f>
        <v>Tepung Beras</v>
      </c>
      <c r="G1250" s="22" t="str">
        <f>IF(nutrition!$B1250&gt;300,"Tinggi Kalori",IF(nutrition!$B1250&gt;100,"Kalori Sedang","Rendah Kalori"))</f>
        <v>Tinggi Kalori</v>
      </c>
      <c r="H1250" s="23" t="s">
        <v>1254</v>
      </c>
    </row>
    <row r="1251" spans="1:8" x14ac:dyDescent="0.3">
      <c r="A1251" s="25">
        <v>1250</v>
      </c>
      <c r="B1251" s="26">
        <v>353</v>
      </c>
      <c r="C1251" s="26">
        <v>7</v>
      </c>
      <c r="D1251" s="26">
        <v>5</v>
      </c>
      <c r="E1251" s="26">
        <v>80</v>
      </c>
      <c r="F1251" s="28" t="str">
        <f>PROPER(nutrition!$H1251)</f>
        <v>Tepung Beras Mentah</v>
      </c>
      <c r="G1251" s="26" t="str">
        <f>IF(nutrition!$B1251&gt;300,"Tinggi Kalori",IF(nutrition!$B1251&gt;100,"Kalori Sedang","Rendah Kalori"))</f>
        <v>Tinggi Kalori</v>
      </c>
      <c r="H1251" s="27" t="s">
        <v>1255</v>
      </c>
    </row>
    <row r="1252" spans="1:8" x14ac:dyDescent="0.3">
      <c r="A1252" s="21">
        <v>1251</v>
      </c>
      <c r="B1252" s="22">
        <v>353</v>
      </c>
      <c r="C1252" s="22">
        <v>8</v>
      </c>
      <c r="D1252" s="22">
        <v>17</v>
      </c>
      <c r="E1252" s="22">
        <v>836</v>
      </c>
      <c r="F1252" s="24" t="str">
        <f>PROPER(nutrition!$H1252)</f>
        <v>Tepung Ganyong</v>
      </c>
      <c r="G1252" s="22" t="str">
        <f>IF(nutrition!$B1252&gt;300,"Tinggi Kalori",IF(nutrition!$B1252&gt;100,"Kalori Sedang","Rendah Kalori"))</f>
        <v>Tinggi Kalori</v>
      </c>
      <c r="H1252" s="23" t="s">
        <v>1256</v>
      </c>
    </row>
    <row r="1253" spans="1:8" x14ac:dyDescent="0.3">
      <c r="A1253" s="25">
        <v>1252</v>
      </c>
      <c r="B1253" s="26">
        <v>363</v>
      </c>
      <c r="C1253" s="26">
        <v>11</v>
      </c>
      <c r="D1253" s="26">
        <v>5</v>
      </c>
      <c r="E1253" s="26">
        <v>882</v>
      </c>
      <c r="F1253" s="28" t="str">
        <f>PROPER(nutrition!$H1253)</f>
        <v>Tepung Gaplek</v>
      </c>
      <c r="G1253" s="26" t="str">
        <f>IF(nutrition!$B1253&gt;300,"Tinggi Kalori",IF(nutrition!$B1253&gt;100,"Kalori Sedang","Rendah Kalori"))</f>
        <v>Tinggi Kalori</v>
      </c>
      <c r="H1253" s="27" t="s">
        <v>1257</v>
      </c>
    </row>
    <row r="1254" spans="1:8" x14ac:dyDescent="0.3">
      <c r="A1254" s="21">
        <v>1253</v>
      </c>
      <c r="B1254" s="22">
        <v>355</v>
      </c>
      <c r="C1254" s="22">
        <v>7</v>
      </c>
      <c r="D1254" s="22">
        <v>2</v>
      </c>
      <c r="E1254" s="22">
        <v>852</v>
      </c>
      <c r="F1254" s="24" t="str">
        <f>PROPER(nutrition!$H1254)</f>
        <v>Tepung Garut (Arrowroot)</v>
      </c>
      <c r="G1254" s="22" t="str">
        <f>IF(nutrition!$B1254&gt;300,"Tinggi Kalori",IF(nutrition!$B1254&gt;100,"Kalori Sedang","Rendah Kalori"))</f>
        <v>Tinggi Kalori</v>
      </c>
      <c r="H1254" s="23" t="s">
        <v>1258</v>
      </c>
    </row>
    <row r="1255" spans="1:8" x14ac:dyDescent="0.3">
      <c r="A1255" s="25">
        <v>1254</v>
      </c>
      <c r="B1255" s="26">
        <v>364</v>
      </c>
      <c r="C1255" s="26">
        <v>45</v>
      </c>
      <c r="D1255" s="26">
        <v>1</v>
      </c>
      <c r="E1255" s="26">
        <v>835</v>
      </c>
      <c r="F1255" s="28" t="str">
        <f>PROPER(nutrition!$H1255)</f>
        <v>Tepung Hunkwee</v>
      </c>
      <c r="G1255" s="26" t="str">
        <f>IF(nutrition!$B1255&gt;300,"Tinggi Kalori",IF(nutrition!$B1255&gt;100,"Kalori Sedang","Rendah Kalori"))</f>
        <v>Tinggi Kalori</v>
      </c>
      <c r="H1255" s="27" t="s">
        <v>1259</v>
      </c>
    </row>
    <row r="1256" spans="1:8" x14ac:dyDescent="0.3">
      <c r="A1256" s="21">
        <v>1255</v>
      </c>
      <c r="B1256" s="22">
        <v>316</v>
      </c>
      <c r="C1256" s="22">
        <v>601</v>
      </c>
      <c r="D1256" s="22">
        <v>65</v>
      </c>
      <c r="E1256" s="22">
        <v>224</v>
      </c>
      <c r="F1256" s="24" t="str">
        <f>PROPER(nutrition!$H1256)</f>
        <v>Tepung Ikan</v>
      </c>
      <c r="G1256" s="22" t="str">
        <f>IF(nutrition!$B1256&gt;300,"Tinggi Kalori",IF(nutrition!$B1256&gt;100,"Kalori Sedang","Rendah Kalori"))</f>
        <v>Tinggi Kalori</v>
      </c>
      <c r="H1256" s="23" t="s">
        <v>1260</v>
      </c>
    </row>
    <row r="1257" spans="1:8" x14ac:dyDescent="0.3">
      <c r="A1257" s="25">
        <v>1256</v>
      </c>
      <c r="B1257" s="26">
        <v>355</v>
      </c>
      <c r="C1257" s="26">
        <v>92</v>
      </c>
      <c r="D1257" s="26">
        <v>39</v>
      </c>
      <c r="E1257" s="26">
        <v>737</v>
      </c>
      <c r="F1257" s="28" t="str">
        <f>PROPER(nutrition!$H1257)</f>
        <v>Tepung Jagung Kuning</v>
      </c>
      <c r="G1257" s="26" t="str">
        <f>IF(nutrition!$B1257&gt;300,"Tinggi Kalori",IF(nutrition!$B1257&gt;100,"Kalori Sedang","Rendah Kalori"))</f>
        <v>Tinggi Kalori</v>
      </c>
      <c r="H1257" s="27" t="s">
        <v>1261</v>
      </c>
    </row>
    <row r="1258" spans="1:8" x14ac:dyDescent="0.3">
      <c r="A1258" s="21">
        <v>1257</v>
      </c>
      <c r="B1258" s="22">
        <v>355</v>
      </c>
      <c r="C1258" s="22">
        <v>92</v>
      </c>
      <c r="D1258" s="22">
        <v>39</v>
      </c>
      <c r="E1258" s="22">
        <v>737</v>
      </c>
      <c r="F1258" s="24" t="str">
        <f>PROPER(nutrition!$H1258)</f>
        <v>Tepung Jagung Putih</v>
      </c>
      <c r="G1258" s="22" t="str">
        <f>IF(nutrition!$B1258&gt;300,"Tinggi Kalori",IF(nutrition!$B1258&gt;100,"Kalori Sedang","Rendah Kalori"))</f>
        <v>Tinggi Kalori</v>
      </c>
      <c r="H1258" s="23" t="s">
        <v>1262</v>
      </c>
    </row>
    <row r="1259" spans="1:8" x14ac:dyDescent="0.3">
      <c r="A1259" s="25">
        <v>1258</v>
      </c>
      <c r="B1259" s="26">
        <v>388</v>
      </c>
      <c r="C1259" s="26">
        <v>19</v>
      </c>
      <c r="D1259" s="26">
        <v>75</v>
      </c>
      <c r="E1259" s="26">
        <v>612</v>
      </c>
      <c r="F1259" s="28" t="str">
        <f>PROPER(nutrition!$H1259)</f>
        <v>Tepung Jalejo</v>
      </c>
      <c r="G1259" s="26" t="str">
        <f>IF(nutrition!$B1259&gt;300,"Tinggi Kalori",IF(nutrition!$B1259&gt;100,"Kalori Sedang","Rendah Kalori"))</f>
        <v>Tinggi Kalori</v>
      </c>
      <c r="H1259" s="27" t="s">
        <v>1263</v>
      </c>
    </row>
    <row r="1260" spans="1:8" x14ac:dyDescent="0.3">
      <c r="A1260" s="21">
        <v>1259</v>
      </c>
      <c r="B1260" s="22">
        <v>347</v>
      </c>
      <c r="C1260" s="22">
        <v>359</v>
      </c>
      <c r="D1260" s="22">
        <v>206</v>
      </c>
      <c r="E1260" s="22">
        <v>299</v>
      </c>
      <c r="F1260" s="24" t="str">
        <f>PROPER(nutrition!$H1260)</f>
        <v>Tepung Kacang Kedelai</v>
      </c>
      <c r="G1260" s="22" t="str">
        <f>IF(nutrition!$B1260&gt;300,"Tinggi Kalori",IF(nutrition!$B1260&gt;100,"Kalori Sedang","Rendah Kalori"))</f>
        <v>Tinggi Kalori</v>
      </c>
      <c r="H1260" s="23" t="s">
        <v>1264</v>
      </c>
    </row>
    <row r="1261" spans="1:8" x14ac:dyDescent="0.3">
      <c r="A1261" s="25">
        <v>1260</v>
      </c>
      <c r="B1261" s="26">
        <v>347</v>
      </c>
      <c r="C1261" s="26">
        <v>3</v>
      </c>
      <c r="D1261" s="26">
        <v>1</v>
      </c>
      <c r="E1261" s="26">
        <v>856</v>
      </c>
      <c r="F1261" s="28" t="str">
        <f>PROPER(nutrition!$H1261)</f>
        <v>Tepung Kentang</v>
      </c>
      <c r="G1261" s="26" t="str">
        <f>IF(nutrition!$B1261&gt;300,"Tinggi Kalori",IF(nutrition!$B1261&gt;100,"Kalori Sedang","Rendah Kalori"))</f>
        <v>Tinggi Kalori</v>
      </c>
      <c r="H1261" s="27" t="s">
        <v>1265</v>
      </c>
    </row>
    <row r="1262" spans="1:8" x14ac:dyDescent="0.3">
      <c r="A1262" s="21">
        <v>1261</v>
      </c>
      <c r="B1262" s="22">
        <v>350</v>
      </c>
      <c r="C1262" s="22">
        <v>12</v>
      </c>
      <c r="D1262" s="22">
        <v>6</v>
      </c>
      <c r="E1262" s="22">
        <v>85</v>
      </c>
      <c r="F1262" s="24" t="str">
        <f>PROPER(nutrition!$H1262)</f>
        <v>Tepung Mocaf</v>
      </c>
      <c r="G1262" s="22" t="str">
        <f>IF(nutrition!$B1262&gt;300,"Tinggi Kalori",IF(nutrition!$B1262&gt;100,"Kalori Sedang","Rendah Kalori"))</f>
        <v>Tinggi Kalori</v>
      </c>
      <c r="H1262" s="23" t="s">
        <v>1266</v>
      </c>
    </row>
    <row r="1263" spans="1:8" x14ac:dyDescent="0.3">
      <c r="A1263" s="25">
        <v>1262</v>
      </c>
      <c r="B1263" s="26">
        <v>338</v>
      </c>
      <c r="C1263" s="26">
        <v>29</v>
      </c>
      <c r="D1263" s="26">
        <v>4</v>
      </c>
      <c r="E1263" s="26">
        <v>806</v>
      </c>
      <c r="F1263" s="28" t="str">
        <f>PROPER(nutrition!$H1263)</f>
        <v>Tepung Pisang</v>
      </c>
      <c r="G1263" s="26" t="str">
        <f>IF(nutrition!$B1263&gt;300,"Tinggi Kalori",IF(nutrition!$B1263&gt;100,"Kalori Sedang","Rendah Kalori"))</f>
        <v>Tinggi Kalori</v>
      </c>
      <c r="H1263" s="27" t="s">
        <v>1267</v>
      </c>
    </row>
    <row r="1264" spans="1:8" x14ac:dyDescent="0.3">
      <c r="A1264" s="21">
        <v>1263</v>
      </c>
      <c r="B1264" s="22">
        <v>353</v>
      </c>
      <c r="C1264" s="22">
        <v>7</v>
      </c>
      <c r="D1264" s="22">
        <v>2</v>
      </c>
      <c r="E1264" s="22">
        <v>847</v>
      </c>
      <c r="F1264" s="24" t="str">
        <f>PROPER(nutrition!$H1264)</f>
        <v>Tepung Sagu</v>
      </c>
      <c r="G1264" s="22" t="str">
        <f>IF(nutrition!$B1264&gt;300,"Tinggi Kalori",IF(nutrition!$B1264&gt;100,"Kalori Sedang","Rendah Kalori"))</f>
        <v>Tinggi Kalori</v>
      </c>
      <c r="H1264" s="23" t="s">
        <v>1268</v>
      </c>
    </row>
    <row r="1265" spans="1:8" x14ac:dyDescent="0.3">
      <c r="A1265" s="25">
        <v>1264</v>
      </c>
      <c r="B1265" s="26">
        <v>326</v>
      </c>
      <c r="C1265" s="26">
        <v>4</v>
      </c>
      <c r="D1265" s="26">
        <v>4</v>
      </c>
      <c r="E1265" s="26">
        <v>767</v>
      </c>
      <c r="F1265" s="28" t="str">
        <f>PROPER(nutrition!$H1265)</f>
        <v>Tepung Sente</v>
      </c>
      <c r="G1265" s="26" t="str">
        <f>IF(nutrition!$B1265&gt;300,"Tinggi Kalori",IF(nutrition!$B1265&gt;100,"Kalori Sedang","Rendah Kalori"))</f>
        <v>Tinggi Kalori</v>
      </c>
      <c r="H1265" s="27" t="s">
        <v>1269</v>
      </c>
    </row>
    <row r="1266" spans="1:8" x14ac:dyDescent="0.3">
      <c r="A1266" s="21">
        <v>1265</v>
      </c>
      <c r="B1266" s="22">
        <v>363</v>
      </c>
      <c r="C1266" s="22">
        <v>11</v>
      </c>
      <c r="D1266" s="22">
        <v>5</v>
      </c>
      <c r="E1266" s="22">
        <v>882</v>
      </c>
      <c r="F1266" s="24" t="str">
        <f>PROPER(nutrition!$H1266)</f>
        <v>Tepung Singkong/ Tapioka</v>
      </c>
      <c r="G1266" s="22" t="str">
        <f>IF(nutrition!$B1266&gt;300,"Tinggi Kalori",IF(nutrition!$B1266&gt;100,"Kalori Sedang","Rendah Kalori"))</f>
        <v>Tinggi Kalori</v>
      </c>
      <c r="H1266" s="23" t="s">
        <v>1270</v>
      </c>
    </row>
    <row r="1267" spans="1:8" x14ac:dyDescent="0.3">
      <c r="A1267" s="25">
        <v>1266</v>
      </c>
      <c r="B1267" s="26">
        <v>353</v>
      </c>
      <c r="C1267" s="26">
        <v>29</v>
      </c>
      <c r="D1267" s="26">
        <v>5</v>
      </c>
      <c r="E1267" s="26">
        <v>844</v>
      </c>
      <c r="F1267" s="28" t="str">
        <f>PROPER(nutrition!$H1267)</f>
        <v>Tepung Sukun</v>
      </c>
      <c r="G1267" s="26" t="str">
        <f>IF(nutrition!$B1267&gt;300,"Tinggi Kalori",IF(nutrition!$B1267&gt;100,"Kalori Sedang","Rendah Kalori"))</f>
        <v>Tinggi Kalori</v>
      </c>
      <c r="H1267" s="27" t="s">
        <v>1271</v>
      </c>
    </row>
    <row r="1268" spans="1:8" x14ac:dyDescent="0.3">
      <c r="A1268" s="21">
        <v>1267</v>
      </c>
      <c r="B1268" s="22">
        <v>509</v>
      </c>
      <c r="C1268" s="22">
        <v>246</v>
      </c>
      <c r="D1268" s="22">
        <v>30</v>
      </c>
      <c r="E1268" s="22">
        <v>362</v>
      </c>
      <c r="F1268" s="24" t="str">
        <f>PROPER(nutrition!$H1268)</f>
        <v>Tepung Susu</v>
      </c>
      <c r="G1268" s="22" t="str">
        <f>IF(nutrition!$B1268&gt;300,"Tinggi Kalori",IF(nutrition!$B1268&gt;100,"Kalori Sedang","Rendah Kalori"))</f>
        <v>Tinggi Kalori</v>
      </c>
      <c r="H1268" s="23" t="s">
        <v>1272</v>
      </c>
    </row>
    <row r="1269" spans="1:8" x14ac:dyDescent="0.3">
      <c r="A1269" s="25">
        <v>1268</v>
      </c>
      <c r="B1269" s="26">
        <v>418</v>
      </c>
      <c r="C1269" s="26">
        <v>19</v>
      </c>
      <c r="D1269" s="26">
        <v>9</v>
      </c>
      <c r="E1269" s="26">
        <v>655</v>
      </c>
      <c r="F1269" s="28" t="str">
        <f>PROPER(nutrition!$H1269)</f>
        <v>Tepung Susu Asam Untuk Bayi</v>
      </c>
      <c r="G1269" s="26" t="str">
        <f>IF(nutrition!$B1269&gt;300,"Tinggi Kalori",IF(nutrition!$B1269&gt;100,"Kalori Sedang","Rendah Kalori"))</f>
        <v>Tinggi Kalori</v>
      </c>
      <c r="H1269" s="27" t="s">
        <v>1273</v>
      </c>
    </row>
    <row r="1270" spans="1:8" x14ac:dyDescent="0.3">
      <c r="A1270" s="21">
        <v>1269</v>
      </c>
      <c r="B1270" s="22">
        <v>362</v>
      </c>
      <c r="C1270" s="22">
        <v>356</v>
      </c>
      <c r="D1270" s="22">
        <v>1</v>
      </c>
      <c r="E1270" s="22">
        <v>52</v>
      </c>
      <c r="F1270" s="24" t="str">
        <f>PROPER(nutrition!$H1270)</f>
        <v>Tepung Susu Skim</v>
      </c>
      <c r="G1270" s="22" t="str">
        <f>IF(nutrition!$B1270&gt;300,"Tinggi Kalori",IF(nutrition!$B1270&gt;100,"Kalori Sedang","Rendah Kalori"))</f>
        <v>Tinggi Kalori</v>
      </c>
      <c r="H1270" s="23" t="s">
        <v>1274</v>
      </c>
    </row>
    <row r="1271" spans="1:8" x14ac:dyDescent="0.3">
      <c r="A1271" s="25">
        <v>1270</v>
      </c>
      <c r="B1271" s="26">
        <v>332</v>
      </c>
      <c r="C1271" s="26">
        <v>57</v>
      </c>
      <c r="D1271" s="26">
        <v>6</v>
      </c>
      <c r="E1271" s="26">
        <v>761</v>
      </c>
      <c r="F1271" s="28" t="str">
        <f>PROPER(nutrition!$H1271)</f>
        <v>Tepung Tales Beneng</v>
      </c>
      <c r="G1271" s="26" t="str">
        <f>IF(nutrition!$B1271&gt;300,"Tinggi Kalori",IF(nutrition!$B1271&gt;100,"Kalori Sedang","Rendah Kalori"))</f>
        <v>Tinggi Kalori</v>
      </c>
      <c r="H1271" s="27" t="s">
        <v>1275</v>
      </c>
    </row>
    <row r="1272" spans="1:8" x14ac:dyDescent="0.3">
      <c r="A1272" s="21">
        <v>1271</v>
      </c>
      <c r="B1272" s="22">
        <v>365</v>
      </c>
      <c r="C1272" s="22">
        <v>89</v>
      </c>
      <c r="D1272" s="22">
        <v>13</v>
      </c>
      <c r="E1272" s="22">
        <v>773</v>
      </c>
      <c r="F1272" s="24" t="str">
        <f>PROPER(nutrition!$H1272)</f>
        <v>Tepung Terigu</v>
      </c>
      <c r="G1272" s="22" t="str">
        <f>IF(nutrition!$B1272&gt;300,"Tinggi Kalori",IF(nutrition!$B1272&gt;100,"Kalori Sedang","Rendah Kalori"))</f>
        <v>Tinggi Kalori</v>
      </c>
      <c r="H1272" s="23" t="s">
        <v>1276</v>
      </c>
    </row>
    <row r="1273" spans="1:8" x14ac:dyDescent="0.3">
      <c r="A1273" s="25">
        <v>1272</v>
      </c>
      <c r="B1273" s="26">
        <v>354</v>
      </c>
      <c r="C1273" s="26">
        <v>28</v>
      </c>
      <c r="D1273" s="26">
        <v>6</v>
      </c>
      <c r="E1273" s="26">
        <v>844</v>
      </c>
      <c r="F1273" s="28" t="str">
        <f>PROPER(nutrition!$H1273)</f>
        <v>Tepung Ubi Ungu</v>
      </c>
      <c r="G1273" s="26" t="str">
        <f>IF(nutrition!$B1273&gt;300,"Tinggi Kalori",IF(nutrition!$B1273&gt;100,"Kalori Sedang","Rendah Kalori"))</f>
        <v>Tinggi Kalori</v>
      </c>
      <c r="H1273" s="27" t="s">
        <v>1277</v>
      </c>
    </row>
    <row r="1274" spans="1:8" x14ac:dyDescent="0.3">
      <c r="A1274" s="21">
        <v>1273</v>
      </c>
      <c r="B1274" s="22">
        <v>155</v>
      </c>
      <c r="C1274" s="22">
        <v>223</v>
      </c>
      <c r="D1274" s="22">
        <v>29</v>
      </c>
      <c r="E1274" s="22">
        <v>99</v>
      </c>
      <c r="F1274" s="24" t="str">
        <f>PROPER(nutrition!$H1274)</f>
        <v>Terasi</v>
      </c>
      <c r="G1274" s="22" t="str">
        <f>IF(nutrition!$B1274&gt;300,"Tinggi Kalori",IF(nutrition!$B1274&gt;100,"Kalori Sedang","Rendah Kalori"))</f>
        <v>Kalori Sedang</v>
      </c>
      <c r="H1274" s="23" t="s">
        <v>1278</v>
      </c>
    </row>
    <row r="1275" spans="1:8" x14ac:dyDescent="0.3">
      <c r="A1275" s="25">
        <v>1274</v>
      </c>
      <c r="B1275" s="26">
        <v>191</v>
      </c>
      <c r="C1275" s="26">
        <v>331</v>
      </c>
      <c r="D1275" s="26">
        <v>36</v>
      </c>
      <c r="E1275" s="26">
        <v>66</v>
      </c>
      <c r="F1275" s="28" t="str">
        <f>PROPER(nutrition!$H1275)</f>
        <v>Terasi Dobo</v>
      </c>
      <c r="G1275" s="26" t="str">
        <f>IF(nutrition!$B1275&gt;300,"Tinggi Kalori",IF(nutrition!$B1275&gt;100,"Kalori Sedang","Rendah Kalori"))</f>
        <v>Kalori Sedang</v>
      </c>
      <c r="H1275" s="27" t="s">
        <v>1279</v>
      </c>
    </row>
    <row r="1276" spans="1:8" x14ac:dyDescent="0.3">
      <c r="A1276" s="21">
        <v>1275</v>
      </c>
      <c r="B1276" s="22">
        <v>174</v>
      </c>
      <c r="C1276" s="22">
        <v>30</v>
      </c>
      <c r="D1276" s="22">
        <v>35</v>
      </c>
      <c r="E1276" s="22">
        <v>35</v>
      </c>
      <c r="F1276" s="24" t="str">
        <f>PROPER(nutrition!$H1276)</f>
        <v>Terasi Merah</v>
      </c>
      <c r="G1276" s="22" t="str">
        <f>IF(nutrition!$B1276&gt;300,"Tinggi Kalori",IF(nutrition!$B1276&gt;100,"Kalori Sedang","Rendah Kalori"))</f>
        <v>Kalori Sedang</v>
      </c>
      <c r="H1276" s="23" t="s">
        <v>1280</v>
      </c>
    </row>
    <row r="1277" spans="1:8" x14ac:dyDescent="0.3">
      <c r="A1277" s="25">
        <v>1276</v>
      </c>
      <c r="B1277" s="26">
        <v>174</v>
      </c>
      <c r="C1277" s="26">
        <v>30</v>
      </c>
      <c r="D1277" s="26">
        <v>35</v>
      </c>
      <c r="E1277" s="26">
        <v>56</v>
      </c>
      <c r="F1277" s="28" t="str">
        <f>PROPER(nutrition!$H1277)</f>
        <v>Terasi Merah</v>
      </c>
      <c r="G1277" s="26" t="str">
        <f>IF(nutrition!$B1277&gt;300,"Tinggi Kalori",IF(nutrition!$B1277&gt;100,"Kalori Sedang","Rendah Kalori"))</f>
        <v>Kalori Sedang</v>
      </c>
      <c r="H1277" s="27" t="s">
        <v>1281</v>
      </c>
    </row>
    <row r="1278" spans="1:8" x14ac:dyDescent="0.3">
      <c r="A1278" s="21">
        <v>1277</v>
      </c>
      <c r="B1278" s="22">
        <v>365</v>
      </c>
      <c r="C1278" s="22">
        <v>237</v>
      </c>
      <c r="D1278" s="22">
        <v>223</v>
      </c>
      <c r="E1278" s="22">
        <v>175</v>
      </c>
      <c r="F1278" s="24" t="str">
        <f>PROPER(nutrition!$H1278)</f>
        <v>Teri Balado Masakan</v>
      </c>
      <c r="G1278" s="22" t="str">
        <f>IF(nutrition!$B1278&gt;300,"Tinggi Kalori",IF(nutrition!$B1278&gt;100,"Kalori Sedang","Rendah Kalori"))</f>
        <v>Tinggi Kalori</v>
      </c>
      <c r="H1278" s="23" t="s">
        <v>1282</v>
      </c>
    </row>
    <row r="1279" spans="1:8" x14ac:dyDescent="0.3">
      <c r="A1279" s="25">
        <v>1278</v>
      </c>
      <c r="B1279" s="26">
        <v>462</v>
      </c>
      <c r="C1279" s="26">
        <v>391</v>
      </c>
      <c r="D1279" s="26">
        <v>324</v>
      </c>
      <c r="E1279" s="26">
        <v>35</v>
      </c>
      <c r="F1279" s="28" t="str">
        <f>PROPER(nutrition!$H1279)</f>
        <v>Teripang Dendeng Mentah</v>
      </c>
      <c r="G1279" s="26" t="str">
        <f>IF(nutrition!$B1279&gt;300,"Tinggi Kalori",IF(nutrition!$B1279&gt;100,"Kalori Sedang","Rendah Kalori"))</f>
        <v>Tinggi Kalori</v>
      </c>
      <c r="H1279" s="27" t="s">
        <v>1283</v>
      </c>
    </row>
    <row r="1280" spans="1:8" x14ac:dyDescent="0.3">
      <c r="A1280" s="21">
        <v>1279</v>
      </c>
      <c r="B1280" s="22">
        <v>24</v>
      </c>
      <c r="C1280" s="22">
        <v>11</v>
      </c>
      <c r="D1280" s="22">
        <v>2</v>
      </c>
      <c r="E1280" s="22">
        <v>55</v>
      </c>
      <c r="F1280" s="24" t="str">
        <f>PROPER(nutrition!$H1280)</f>
        <v>Terong</v>
      </c>
      <c r="G1280" s="22" t="str">
        <f>IF(nutrition!$B1280&gt;300,"Tinggi Kalori",IF(nutrition!$B1280&gt;100,"Kalori Sedang","Rendah Kalori"))</f>
        <v>Rendah Kalori</v>
      </c>
      <c r="H1280" s="23" t="s">
        <v>1284</v>
      </c>
    </row>
    <row r="1281" spans="1:8" x14ac:dyDescent="0.3">
      <c r="A1281" s="25">
        <v>1280</v>
      </c>
      <c r="B1281" s="26">
        <v>285</v>
      </c>
      <c r="C1281" s="26">
        <v>43</v>
      </c>
      <c r="D1281" s="26">
        <v>257</v>
      </c>
      <c r="E1281" s="26">
        <v>95</v>
      </c>
      <c r="F1281" s="28" t="str">
        <f>PROPER(nutrition!$H1281)</f>
        <v>Terong + Oncom Makanan</v>
      </c>
      <c r="G1281" s="26" t="str">
        <f>IF(nutrition!$B1281&gt;300,"Tinggi Kalori",IF(nutrition!$B1281&gt;100,"Kalori Sedang","Rendah Kalori"))</f>
        <v>Kalori Sedang</v>
      </c>
      <c r="H1281" s="27" t="s">
        <v>1285</v>
      </c>
    </row>
    <row r="1282" spans="1:8" x14ac:dyDescent="0.3">
      <c r="A1282" s="21">
        <v>1281</v>
      </c>
      <c r="B1282" s="22">
        <v>39</v>
      </c>
      <c r="C1282" s="22">
        <v>23</v>
      </c>
      <c r="D1282" s="22">
        <v>19</v>
      </c>
      <c r="E1282" s="22">
        <v>2</v>
      </c>
      <c r="F1282" s="24" t="str">
        <f>PROPER(nutrition!$H1282)</f>
        <v>Terong Asam</v>
      </c>
      <c r="G1282" s="22" t="str">
        <f>IF(nutrition!$B1282&gt;300,"Tinggi Kalori",IF(nutrition!$B1282&gt;100,"Kalori Sedang","Rendah Kalori"))</f>
        <v>Rendah Kalori</v>
      </c>
      <c r="H1282" s="23" t="s">
        <v>1286</v>
      </c>
    </row>
    <row r="1283" spans="1:8" x14ac:dyDescent="0.3">
      <c r="A1283" s="25">
        <v>1282</v>
      </c>
      <c r="B1283" s="26">
        <v>48</v>
      </c>
      <c r="C1283" s="26">
        <v>15</v>
      </c>
      <c r="D1283" s="26">
        <v>3</v>
      </c>
      <c r="E1283" s="26">
        <v>113</v>
      </c>
      <c r="F1283" s="28" t="str">
        <f>PROPER(nutrition!$H1283)</f>
        <v>Terong Belanda</v>
      </c>
      <c r="G1283" s="26" t="str">
        <f>IF(nutrition!$B1283&gt;300,"Tinggi Kalori",IF(nutrition!$B1283&gt;100,"Kalori Sedang","Rendah Kalori"))</f>
        <v>Rendah Kalori</v>
      </c>
      <c r="H1283" s="27" t="s">
        <v>1287</v>
      </c>
    </row>
    <row r="1284" spans="1:8" x14ac:dyDescent="0.3">
      <c r="A1284" s="21">
        <v>1283</v>
      </c>
      <c r="B1284" s="22">
        <v>45</v>
      </c>
      <c r="C1284" s="22">
        <v>19</v>
      </c>
      <c r="D1284" s="22">
        <v>8</v>
      </c>
      <c r="E1284" s="22">
        <v>75</v>
      </c>
      <c r="F1284" s="24" t="str">
        <f>PROPER(nutrition!$H1284)</f>
        <v>Terong Hintalo Segar</v>
      </c>
      <c r="G1284" s="22" t="str">
        <f>IF(nutrition!$B1284&gt;300,"Tinggi Kalori",IF(nutrition!$B1284&gt;100,"Kalori Sedang","Rendah Kalori"))</f>
        <v>Rendah Kalori</v>
      </c>
      <c r="H1284" s="23" t="s">
        <v>1288</v>
      </c>
    </row>
    <row r="1285" spans="1:8" x14ac:dyDescent="0.3">
      <c r="A1285" s="25">
        <v>1284</v>
      </c>
      <c r="B1285" s="26">
        <v>23</v>
      </c>
      <c r="C1285" s="26">
        <v>18</v>
      </c>
      <c r="D1285" s="26">
        <v>1</v>
      </c>
      <c r="E1285" s="26">
        <v>49</v>
      </c>
      <c r="F1285" s="28" t="str">
        <f>PROPER(nutrition!$H1285)</f>
        <v>Terong Kukus</v>
      </c>
      <c r="G1285" s="26" t="str">
        <f>IF(nutrition!$B1285&gt;300,"Tinggi Kalori",IF(nutrition!$B1285&gt;100,"Kalori Sedang","Rendah Kalori"))</f>
        <v>Rendah Kalori</v>
      </c>
      <c r="H1285" s="27" t="s">
        <v>1289</v>
      </c>
    </row>
    <row r="1286" spans="1:8" x14ac:dyDescent="0.3">
      <c r="A1286" s="21">
        <v>1285</v>
      </c>
      <c r="B1286" s="22">
        <v>28</v>
      </c>
      <c r="C1286" s="22">
        <v>11</v>
      </c>
      <c r="D1286" s="22">
        <v>2</v>
      </c>
      <c r="E1286" s="22">
        <v>55</v>
      </c>
      <c r="F1286" s="24" t="str">
        <f>PROPER(nutrition!$H1286)</f>
        <v>Terong Segar</v>
      </c>
      <c r="G1286" s="22" t="str">
        <f>IF(nutrition!$B1286&gt;300,"Tinggi Kalori",IF(nutrition!$B1286&gt;100,"Kalori Sedang","Rendah Kalori"))</f>
        <v>Rendah Kalori</v>
      </c>
      <c r="H1286" s="23" t="s">
        <v>1290</v>
      </c>
    </row>
    <row r="1287" spans="1:8" x14ac:dyDescent="0.3">
      <c r="A1287" s="25">
        <v>1286</v>
      </c>
      <c r="B1287" s="26">
        <v>52</v>
      </c>
      <c r="C1287" s="26">
        <v>21</v>
      </c>
      <c r="D1287" s="26">
        <v>11</v>
      </c>
      <c r="E1287" s="26">
        <v>86</v>
      </c>
      <c r="F1287" s="28" t="str">
        <f>PROPER(nutrition!$H1287)</f>
        <v>Terung Belanda Segar</v>
      </c>
      <c r="G1287" s="26" t="str">
        <f>IF(nutrition!$B1287&gt;300,"Tinggi Kalori",IF(nutrition!$B1287&gt;100,"Kalori Sedang","Rendah Kalori"))</f>
        <v>Rendah Kalori</v>
      </c>
      <c r="H1287" s="27" t="s">
        <v>1291</v>
      </c>
    </row>
    <row r="1288" spans="1:8" x14ac:dyDescent="0.3">
      <c r="A1288" s="21">
        <v>1287</v>
      </c>
      <c r="B1288" s="22">
        <v>52</v>
      </c>
      <c r="C1288" s="22">
        <v>11</v>
      </c>
      <c r="D1288" s="22">
        <v>4</v>
      </c>
      <c r="E1288" s="22">
        <v>112</v>
      </c>
      <c r="F1288" s="24" t="str">
        <f>PROPER(nutrition!$H1288)</f>
        <v>Terung Bengkulu Segar</v>
      </c>
      <c r="G1288" s="22" t="str">
        <f>IF(nutrition!$B1288&gt;300,"Tinggi Kalori",IF(nutrition!$B1288&gt;100,"Kalori Sedang","Rendah Kalori"))</f>
        <v>Rendah Kalori</v>
      </c>
      <c r="H1288" s="23" t="s">
        <v>1292</v>
      </c>
    </row>
    <row r="1289" spans="1:8" x14ac:dyDescent="0.3">
      <c r="A1289" s="25">
        <v>1288</v>
      </c>
      <c r="B1289" s="26">
        <v>25</v>
      </c>
      <c r="C1289" s="26">
        <v>21</v>
      </c>
      <c r="D1289" s="26">
        <v>1</v>
      </c>
      <c r="E1289" s="26">
        <v>53</v>
      </c>
      <c r="F1289" s="28" t="str">
        <f>PROPER(nutrition!$H1289)</f>
        <v>Terung Panjang</v>
      </c>
      <c r="G1289" s="26" t="str">
        <f>IF(nutrition!$B1289&gt;300,"Tinggi Kalori",IF(nutrition!$B1289&gt;100,"Kalori Sedang","Rendah Kalori"))</f>
        <v>Rendah Kalori</v>
      </c>
      <c r="H1289" s="27" t="s">
        <v>1293</v>
      </c>
    </row>
    <row r="1290" spans="1:8" x14ac:dyDescent="0.3">
      <c r="A1290" s="21">
        <v>1289</v>
      </c>
      <c r="B1290" s="22">
        <v>23</v>
      </c>
      <c r="C1290" s="22">
        <v>18</v>
      </c>
      <c r="D1290" s="22">
        <v>1</v>
      </c>
      <c r="E1290" s="22">
        <v>49</v>
      </c>
      <c r="F1290" s="24" t="str">
        <f>PROPER(nutrition!$H1290)</f>
        <v>Terung Panjang Kukus</v>
      </c>
      <c r="G1290" s="22" t="str">
        <f>IF(nutrition!$B1290&gt;300,"Tinggi Kalori",IF(nutrition!$B1290&gt;100,"Kalori Sedang","Rendah Kalori"))</f>
        <v>Rendah Kalori</v>
      </c>
      <c r="H1290" s="23" t="s">
        <v>1294</v>
      </c>
    </row>
    <row r="1291" spans="1:8" x14ac:dyDescent="0.3">
      <c r="A1291" s="25">
        <v>1290</v>
      </c>
      <c r="B1291" s="26">
        <v>59</v>
      </c>
      <c r="C1291" s="26">
        <v>29</v>
      </c>
      <c r="D1291" s="26">
        <v>3</v>
      </c>
      <c r="E1291" s="26">
        <v>139</v>
      </c>
      <c r="F1291" s="28" t="str">
        <f>PROPER(nutrition!$H1291)</f>
        <v>Tespong Daun</v>
      </c>
      <c r="G1291" s="26" t="str">
        <f>IF(nutrition!$B1291&gt;300,"Tinggi Kalori",IF(nutrition!$B1291&gt;100,"Kalori Sedang","Rendah Kalori"))</f>
        <v>Rendah Kalori</v>
      </c>
      <c r="H1291" s="27" t="s">
        <v>1295</v>
      </c>
    </row>
    <row r="1292" spans="1:8" x14ac:dyDescent="0.3">
      <c r="A1292" s="21">
        <v>1291</v>
      </c>
      <c r="B1292" s="22">
        <v>120</v>
      </c>
      <c r="C1292" s="22">
        <v>24</v>
      </c>
      <c r="D1292" s="22">
        <v>4</v>
      </c>
      <c r="E1292" s="22">
        <v>26</v>
      </c>
      <c r="F1292" s="24" t="str">
        <f>PROPER(nutrition!$H1292)</f>
        <v>Tim (Nasi Tim)</v>
      </c>
      <c r="G1292" s="22" t="str">
        <f>IF(nutrition!$B1292&gt;300,"Tinggi Kalori",IF(nutrition!$B1292&gt;100,"Kalori Sedang","Rendah Kalori"))</f>
        <v>Kalori Sedang</v>
      </c>
      <c r="H1292" s="23" t="s">
        <v>1296</v>
      </c>
    </row>
    <row r="1293" spans="1:8" x14ac:dyDescent="0.3">
      <c r="A1293" s="25">
        <v>1292</v>
      </c>
      <c r="B1293" s="26">
        <v>33</v>
      </c>
      <c r="C1293" s="26">
        <v>12</v>
      </c>
      <c r="D1293" s="26">
        <v>13</v>
      </c>
      <c r="E1293" s="26">
        <v>41</v>
      </c>
      <c r="F1293" s="28" t="str">
        <f>PROPER(nutrition!$H1293)</f>
        <v>Tinira Ninahu Nggaluku</v>
      </c>
      <c r="G1293" s="26" t="str">
        <f>IF(nutrition!$B1293&gt;300,"Tinggi Kalori",IF(nutrition!$B1293&gt;100,"Kalori Sedang","Rendah Kalori"))</f>
        <v>Rendah Kalori</v>
      </c>
      <c r="H1293" s="27" t="s">
        <v>1297</v>
      </c>
    </row>
    <row r="1294" spans="1:8" x14ac:dyDescent="0.3">
      <c r="A1294" s="21">
        <v>1293</v>
      </c>
      <c r="B1294" s="22">
        <v>516</v>
      </c>
      <c r="C1294" s="22">
        <v>177</v>
      </c>
      <c r="D1294" s="22">
        <v>495</v>
      </c>
      <c r="E1294" s="22">
        <v>0</v>
      </c>
      <c r="F1294" s="24" t="str">
        <f>PROPER(nutrition!$H1294)</f>
        <v>Tinoransak Masakan</v>
      </c>
      <c r="G1294" s="22" t="str">
        <f>IF(nutrition!$B1294&gt;300,"Tinggi Kalori",IF(nutrition!$B1294&gt;100,"Kalori Sedang","Rendah Kalori"))</f>
        <v>Tinggi Kalori</v>
      </c>
      <c r="H1294" s="23" t="s">
        <v>1298</v>
      </c>
    </row>
    <row r="1295" spans="1:8" x14ac:dyDescent="0.3">
      <c r="A1295" s="25">
        <v>1294</v>
      </c>
      <c r="B1295" s="26">
        <v>355</v>
      </c>
      <c r="C1295" s="26">
        <v>62</v>
      </c>
      <c r="D1295" s="26">
        <v>12</v>
      </c>
      <c r="E1295" s="26">
        <v>798</v>
      </c>
      <c r="F1295" s="28" t="str">
        <f>PROPER(nutrition!$H1295)</f>
        <v>Tipa-Tipa</v>
      </c>
      <c r="G1295" s="26" t="str">
        <f>IF(nutrition!$B1295&gt;300,"Tinggi Kalori",IF(nutrition!$B1295&gt;100,"Kalori Sedang","Rendah Kalori"))</f>
        <v>Tinggi Kalori</v>
      </c>
      <c r="H1295" s="27" t="s">
        <v>1299</v>
      </c>
    </row>
    <row r="1296" spans="1:8" x14ac:dyDescent="0.3">
      <c r="A1296" s="21">
        <v>1295</v>
      </c>
      <c r="B1296" s="22">
        <v>353</v>
      </c>
      <c r="C1296" s="22">
        <v>24</v>
      </c>
      <c r="D1296" s="22">
        <v>11</v>
      </c>
      <c r="E1296" s="22">
        <v>834</v>
      </c>
      <c r="F1296" s="24" t="str">
        <f>PROPER(nutrition!$H1296)</f>
        <v xml:space="preserve">Tiwul  </v>
      </c>
      <c r="G1296" s="22" t="str">
        <f>IF(nutrition!$B1296&gt;300,"Tinggi Kalori",IF(nutrition!$B1296&gt;100,"Kalori Sedang","Rendah Kalori"))</f>
        <v>Tinggi Kalori</v>
      </c>
      <c r="H1296" s="23" t="s">
        <v>1300</v>
      </c>
    </row>
    <row r="1297" spans="1:8" x14ac:dyDescent="0.3">
      <c r="A1297" s="25">
        <v>1296</v>
      </c>
      <c r="B1297" s="26">
        <v>395</v>
      </c>
      <c r="C1297" s="26">
        <v>32</v>
      </c>
      <c r="D1297" s="26">
        <v>85</v>
      </c>
      <c r="E1297" s="26">
        <v>765</v>
      </c>
      <c r="F1297" s="28" t="str">
        <f>PROPER(nutrition!$H1297)</f>
        <v>Tiwul Instan</v>
      </c>
      <c r="G1297" s="26" t="str">
        <f>IF(nutrition!$B1297&gt;300,"Tinggi Kalori",IF(nutrition!$B1297&gt;100,"Kalori Sedang","Rendah Kalori"))</f>
        <v>Tinggi Kalori</v>
      </c>
      <c r="H1297" s="27" t="s">
        <v>1301</v>
      </c>
    </row>
    <row r="1298" spans="1:8" x14ac:dyDescent="0.3">
      <c r="A1298" s="21">
        <v>1297</v>
      </c>
      <c r="B1298" s="22">
        <v>392</v>
      </c>
      <c r="C1298" s="22">
        <v>54</v>
      </c>
      <c r="D1298" s="22">
        <v>285</v>
      </c>
      <c r="E1298" s="22">
        <v>284</v>
      </c>
      <c r="F1298" s="24" t="str">
        <f>PROPER(nutrition!$H1298)</f>
        <v>Toge -Tahu Makanan</v>
      </c>
      <c r="G1298" s="22" t="str">
        <f>IF(nutrition!$B1298&gt;300,"Tinggi Kalori",IF(nutrition!$B1298&gt;100,"Kalori Sedang","Rendah Kalori"))</f>
        <v>Tinggi Kalori</v>
      </c>
      <c r="H1298" s="23" t="s">
        <v>1302</v>
      </c>
    </row>
    <row r="1299" spans="1:8" x14ac:dyDescent="0.3">
      <c r="A1299" s="25">
        <v>1298</v>
      </c>
      <c r="B1299" s="26">
        <v>936</v>
      </c>
      <c r="C1299" s="26">
        <v>44</v>
      </c>
      <c r="D1299" s="26">
        <v>18</v>
      </c>
      <c r="E1299" s="26">
        <v>151</v>
      </c>
      <c r="F1299" s="28" t="str">
        <f>PROPER(nutrition!$H1299)</f>
        <v xml:space="preserve">Toge Goreng </v>
      </c>
      <c r="G1299" s="26" t="str">
        <f>IF(nutrition!$B1299&gt;300,"Tinggi Kalori",IF(nutrition!$B1299&gt;100,"Kalori Sedang","Rendah Kalori"))</f>
        <v>Tinggi Kalori</v>
      </c>
      <c r="H1299" s="27" t="s">
        <v>1303</v>
      </c>
    </row>
    <row r="1300" spans="1:8" x14ac:dyDescent="0.3">
      <c r="A1300" s="21">
        <v>1299</v>
      </c>
      <c r="B1300" s="22">
        <v>23</v>
      </c>
      <c r="C1300" s="22">
        <v>29</v>
      </c>
      <c r="D1300" s="22">
        <v>2</v>
      </c>
      <c r="E1300" s="22">
        <v>41</v>
      </c>
      <c r="F1300" s="24" t="str">
        <f>PROPER(nutrition!$H1300)</f>
        <v>Toge Kacang Ijo</v>
      </c>
      <c r="G1300" s="22" t="str">
        <f>IF(nutrition!$B1300&gt;300,"Tinggi Kalori",IF(nutrition!$B1300&gt;100,"Kalori Sedang","Rendah Kalori"))</f>
        <v>Rendah Kalori</v>
      </c>
      <c r="H1300" s="23" t="s">
        <v>1304</v>
      </c>
    </row>
    <row r="1301" spans="1:8" x14ac:dyDescent="0.3">
      <c r="A1301" s="25">
        <v>1300</v>
      </c>
      <c r="B1301" s="26">
        <v>35</v>
      </c>
      <c r="C1301" s="26">
        <v>5</v>
      </c>
      <c r="D1301" s="26">
        <v>2</v>
      </c>
      <c r="E1301" s="26">
        <v>58</v>
      </c>
      <c r="F1301" s="28" t="str">
        <f>PROPER(nutrition!$H1301)</f>
        <v>Toge Kacang Tunggak</v>
      </c>
      <c r="G1301" s="26" t="str">
        <f>IF(nutrition!$B1301&gt;300,"Tinggi Kalori",IF(nutrition!$B1301&gt;100,"Kalori Sedang","Rendah Kalori"))</f>
        <v>Rendah Kalori</v>
      </c>
      <c r="H1301" s="27" t="s">
        <v>1305</v>
      </c>
    </row>
    <row r="1302" spans="1:8" x14ac:dyDescent="0.3">
      <c r="A1302" s="21">
        <v>1301</v>
      </c>
      <c r="B1302" s="22">
        <v>67</v>
      </c>
      <c r="C1302" s="22">
        <v>9</v>
      </c>
      <c r="D1302" s="22">
        <v>26</v>
      </c>
      <c r="E1302" s="22">
        <v>64</v>
      </c>
      <c r="F1302" s="24" t="str">
        <f>PROPER(nutrition!$H1302)</f>
        <v>Toge Kedelai</v>
      </c>
      <c r="G1302" s="22" t="str">
        <f>IF(nutrition!$B1302&gt;300,"Tinggi Kalori",IF(nutrition!$B1302&gt;100,"Kalori Sedang","Rendah Kalori"))</f>
        <v>Rendah Kalori</v>
      </c>
      <c r="H1302" s="23" t="s">
        <v>1306</v>
      </c>
    </row>
    <row r="1303" spans="1:8" x14ac:dyDescent="0.3">
      <c r="A1303" s="25">
        <v>1302</v>
      </c>
      <c r="B1303" s="26">
        <v>28</v>
      </c>
      <c r="C1303" s="26">
        <v>3</v>
      </c>
      <c r="D1303" s="26">
        <v>8</v>
      </c>
      <c r="E1303" s="26">
        <v>4</v>
      </c>
      <c r="F1303" s="28" t="str">
        <f>PROPER(nutrition!$H1303)</f>
        <v>Toge Seduh</v>
      </c>
      <c r="G1303" s="26" t="str">
        <f>IF(nutrition!$B1303&gt;300,"Tinggi Kalori",IF(nutrition!$B1303&gt;100,"Kalori Sedang","Rendah Kalori"))</f>
        <v>Rendah Kalori</v>
      </c>
      <c r="H1303" s="27" t="s">
        <v>1307</v>
      </c>
    </row>
    <row r="1304" spans="1:8" x14ac:dyDescent="0.3">
      <c r="A1304" s="21">
        <v>1303</v>
      </c>
      <c r="B1304" s="22">
        <v>20</v>
      </c>
      <c r="C1304" s="22">
        <v>1</v>
      </c>
      <c r="D1304" s="22">
        <v>2</v>
      </c>
      <c r="E1304" s="22">
        <v>35</v>
      </c>
      <c r="F1304" s="24" t="str">
        <f>PROPER(nutrition!$H1304)</f>
        <v>Tomat Air (Juice) Segar</v>
      </c>
      <c r="G1304" s="22" t="str">
        <f>IF(nutrition!$B1304&gt;300,"Tinggi Kalori",IF(nutrition!$B1304&gt;100,"Kalori Sedang","Rendah Kalori"))</f>
        <v>Rendah Kalori</v>
      </c>
      <c r="H1304" s="23" t="s">
        <v>1308</v>
      </c>
    </row>
    <row r="1305" spans="1:8" x14ac:dyDescent="0.3">
      <c r="A1305" s="25">
        <v>1304</v>
      </c>
      <c r="B1305" s="26">
        <v>20</v>
      </c>
      <c r="C1305" s="26">
        <v>1</v>
      </c>
      <c r="D1305" s="26">
        <v>3</v>
      </c>
      <c r="E1305" s="26">
        <v>42</v>
      </c>
      <c r="F1305" s="28" t="str">
        <f>PROPER(nutrition!$H1305)</f>
        <v>Tomat Masak</v>
      </c>
      <c r="G1305" s="26" t="str">
        <f>IF(nutrition!$B1305&gt;300,"Tinggi Kalori",IF(nutrition!$B1305&gt;100,"Kalori Sedang","Rendah Kalori"))</f>
        <v>Rendah Kalori</v>
      </c>
      <c r="H1305" s="27" t="s">
        <v>1309</v>
      </c>
    </row>
    <row r="1306" spans="1:8" x14ac:dyDescent="0.3">
      <c r="A1306" s="21">
        <v>1305</v>
      </c>
      <c r="B1306" s="22">
        <v>24</v>
      </c>
      <c r="C1306" s="22">
        <v>13</v>
      </c>
      <c r="D1306" s="22">
        <v>5</v>
      </c>
      <c r="E1306" s="22">
        <v>47</v>
      </c>
      <c r="F1306" s="24" t="str">
        <f>PROPER(nutrition!$H1306)</f>
        <v>Tomat Merah Segar</v>
      </c>
      <c r="G1306" s="22" t="str">
        <f>IF(nutrition!$B1306&gt;300,"Tinggi Kalori",IF(nutrition!$B1306&gt;100,"Kalori Sedang","Rendah Kalori"))</f>
        <v>Rendah Kalori</v>
      </c>
      <c r="H1306" s="23" t="s">
        <v>1310</v>
      </c>
    </row>
    <row r="1307" spans="1:8" x14ac:dyDescent="0.3">
      <c r="A1307" s="25">
        <v>1306</v>
      </c>
      <c r="B1307" s="26">
        <v>24</v>
      </c>
      <c r="C1307" s="26">
        <v>2</v>
      </c>
      <c r="D1307" s="26">
        <v>7</v>
      </c>
      <c r="E1307" s="26">
        <v>33</v>
      </c>
      <c r="F1307" s="28" t="str">
        <f>PROPER(nutrition!$H1307)</f>
        <v>Tomat Muda Segar</v>
      </c>
      <c r="G1307" s="26" t="str">
        <f>IF(nutrition!$B1307&gt;300,"Tinggi Kalori",IF(nutrition!$B1307&gt;100,"Kalori Sedang","Rendah Kalori"))</f>
        <v>Rendah Kalori</v>
      </c>
      <c r="H1307" s="27" t="s">
        <v>1311</v>
      </c>
    </row>
    <row r="1308" spans="1:8" x14ac:dyDescent="0.3">
      <c r="A1308" s="21">
        <v>1307</v>
      </c>
      <c r="B1308" s="22">
        <v>189</v>
      </c>
      <c r="C1308" s="22">
        <v>113</v>
      </c>
      <c r="D1308" s="22">
        <v>157</v>
      </c>
      <c r="E1308" s="22">
        <v>6</v>
      </c>
      <c r="F1308" s="24" t="str">
        <f>PROPER(nutrition!$H1308)</f>
        <v>Tumis Bandeng</v>
      </c>
      <c r="G1308" s="22" t="str">
        <f>IF(nutrition!$B1308&gt;300,"Tinggi Kalori",IF(nutrition!$B1308&gt;100,"Kalori Sedang","Rendah Kalori"))</f>
        <v>Kalori Sedang</v>
      </c>
      <c r="H1308" s="23" t="s">
        <v>1312</v>
      </c>
    </row>
    <row r="1309" spans="1:8" x14ac:dyDescent="0.3">
      <c r="A1309" s="25">
        <v>1308</v>
      </c>
      <c r="B1309" s="26">
        <v>48</v>
      </c>
      <c r="C1309" s="26">
        <v>14</v>
      </c>
      <c r="D1309" s="26">
        <v>42</v>
      </c>
      <c r="E1309" s="26">
        <v>26</v>
      </c>
      <c r="F1309" s="28" t="str">
        <f>PROPER(nutrition!$H1309)</f>
        <v>Tumis Bayam Bersantan</v>
      </c>
      <c r="G1309" s="26" t="str">
        <f>IF(nutrition!$B1309&gt;300,"Tinggi Kalori",IF(nutrition!$B1309&gt;100,"Kalori Sedang","Rendah Kalori"))</f>
        <v>Rendah Kalori</v>
      </c>
      <c r="H1309" s="27" t="s">
        <v>1313</v>
      </c>
    </row>
    <row r="1310" spans="1:8" x14ac:dyDescent="0.3">
      <c r="A1310" s="21">
        <v>1309</v>
      </c>
      <c r="B1310" s="22">
        <v>186</v>
      </c>
      <c r="C1310" s="22">
        <v>19</v>
      </c>
      <c r="D1310" s="22">
        <v>2</v>
      </c>
      <c r="E1310" s="22">
        <v>443</v>
      </c>
      <c r="F1310" s="24" t="str">
        <f>PROPER(nutrition!$H1310)</f>
        <v>Ubi Cilembu</v>
      </c>
      <c r="G1310" s="22" t="str">
        <f>IF(nutrition!$B1310&gt;300,"Tinggi Kalori",IF(nutrition!$B1310&gt;100,"Kalori Sedang","Rendah Kalori"))</f>
        <v>Kalori Sedang</v>
      </c>
      <c r="H1310" s="23" t="s">
        <v>1314</v>
      </c>
    </row>
    <row r="1311" spans="1:8" x14ac:dyDescent="0.3">
      <c r="A1311" s="25">
        <v>1310</v>
      </c>
      <c r="B1311" s="26">
        <v>160</v>
      </c>
      <c r="C1311" s="26">
        <v>37</v>
      </c>
      <c r="D1311" s="26">
        <v>13</v>
      </c>
      <c r="E1311" s="26">
        <v>553</v>
      </c>
      <c r="F1311" s="28" t="str">
        <f>PROPER(nutrition!$H1311)</f>
        <v xml:space="preserve">Ubi Jalar Goreng </v>
      </c>
      <c r="G1311" s="26" t="str">
        <f>IF(nutrition!$B1311&gt;300,"Tinggi Kalori",IF(nutrition!$B1311&gt;100,"Kalori Sedang","Rendah Kalori"))</f>
        <v>Kalori Sedang</v>
      </c>
      <c r="H1311" s="27" t="s">
        <v>1315</v>
      </c>
    </row>
    <row r="1312" spans="1:8" x14ac:dyDescent="0.3">
      <c r="A1312" s="21">
        <v>1311</v>
      </c>
      <c r="B1312" s="22">
        <v>100</v>
      </c>
      <c r="C1312" s="22">
        <v>7</v>
      </c>
      <c r="D1312" s="22">
        <v>3</v>
      </c>
      <c r="E1312" s="22">
        <v>238</v>
      </c>
      <c r="F1312" s="24" t="str">
        <f>PROPER(nutrition!$H1312)</f>
        <v>Ubi Jalar Kuning Kukus</v>
      </c>
      <c r="G1312" s="22" t="str">
        <f>IF(nutrition!$B1312&gt;300,"Tinggi Kalori",IF(nutrition!$B1312&gt;100,"Kalori Sedang","Rendah Kalori"))</f>
        <v>Rendah Kalori</v>
      </c>
      <c r="H1312" s="23" t="s">
        <v>1316</v>
      </c>
    </row>
    <row r="1313" spans="1:8" x14ac:dyDescent="0.3">
      <c r="A1313" s="25">
        <v>1312</v>
      </c>
      <c r="B1313" s="26">
        <v>119</v>
      </c>
      <c r="C1313" s="26">
        <v>5</v>
      </c>
      <c r="D1313" s="26">
        <v>4</v>
      </c>
      <c r="E1313" s="26">
        <v>251</v>
      </c>
      <c r="F1313" s="28" t="str">
        <f>PROPER(nutrition!$H1313)</f>
        <v>Ubi Jalar Kuning Segar</v>
      </c>
      <c r="G1313" s="26" t="str">
        <f>IF(nutrition!$B1313&gt;300,"Tinggi Kalori",IF(nutrition!$B1313&gt;100,"Kalori Sedang","Rendah Kalori"))</f>
        <v>Kalori Sedang</v>
      </c>
      <c r="H1313" s="27" t="s">
        <v>1317</v>
      </c>
    </row>
    <row r="1314" spans="1:8" x14ac:dyDescent="0.3">
      <c r="A1314" s="21">
        <v>1313</v>
      </c>
      <c r="B1314" s="22">
        <v>83</v>
      </c>
      <c r="C1314" s="22">
        <v>15</v>
      </c>
      <c r="D1314" s="22">
        <v>2</v>
      </c>
      <c r="E1314" s="22">
        <v>188</v>
      </c>
      <c r="F1314" s="24" t="str">
        <f>PROPER(nutrition!$H1314)</f>
        <v>Ubi Jalar Manis Segar</v>
      </c>
      <c r="G1314" s="22" t="str">
        <f>IF(nutrition!$B1314&gt;300,"Tinggi Kalori",IF(nutrition!$B1314&gt;100,"Kalori Sedang","Rendah Kalori"))</f>
        <v>Rendah Kalori</v>
      </c>
      <c r="H1314" s="23" t="s">
        <v>1318</v>
      </c>
    </row>
    <row r="1315" spans="1:8" x14ac:dyDescent="0.3">
      <c r="A1315" s="25">
        <v>1314</v>
      </c>
      <c r="B1315" s="26">
        <v>123</v>
      </c>
      <c r="C1315" s="26">
        <v>18</v>
      </c>
      <c r="D1315" s="26">
        <v>7</v>
      </c>
      <c r="E1315" s="26">
        <v>279</v>
      </c>
      <c r="F1315" s="28" t="str">
        <f>PROPER(nutrition!$H1315)</f>
        <v>Ubi Jalar Merah</v>
      </c>
      <c r="G1315" s="26" t="str">
        <f>IF(nutrition!$B1315&gt;300,"Tinggi Kalori",IF(nutrition!$B1315&gt;100,"Kalori Sedang","Rendah Kalori"))</f>
        <v>Kalori Sedang</v>
      </c>
      <c r="H1315" s="27" t="s">
        <v>1319</v>
      </c>
    </row>
    <row r="1316" spans="1:8" x14ac:dyDescent="0.3">
      <c r="A1316" s="21">
        <v>1315</v>
      </c>
      <c r="B1316" s="22">
        <v>151</v>
      </c>
      <c r="C1316" s="22">
        <v>16</v>
      </c>
      <c r="D1316" s="22">
        <v>3</v>
      </c>
      <c r="E1316" s="22">
        <v>354</v>
      </c>
      <c r="F1316" s="24" t="str">
        <f>PROPER(nutrition!$H1316)</f>
        <v>Ubi Jalar Merah Segar</v>
      </c>
      <c r="G1316" s="22" t="str">
        <f>IF(nutrition!$B1316&gt;300,"Tinggi Kalori",IF(nutrition!$B1316&gt;100,"Kalori Sedang","Rendah Kalori"))</f>
        <v>Kalori Sedang</v>
      </c>
      <c r="H1316" s="23" t="s">
        <v>1320</v>
      </c>
    </row>
    <row r="1317" spans="1:8" x14ac:dyDescent="0.3">
      <c r="A1317" s="25">
        <v>1316</v>
      </c>
      <c r="B1317" s="26">
        <v>123</v>
      </c>
      <c r="C1317" s="26">
        <v>18</v>
      </c>
      <c r="D1317" s="26">
        <v>7</v>
      </c>
      <c r="E1317" s="26">
        <v>279</v>
      </c>
      <c r="F1317" s="28" t="str">
        <f>PROPER(nutrition!$H1317)</f>
        <v>Ubi Jalar Putih</v>
      </c>
      <c r="G1317" s="26" t="str">
        <f>IF(nutrition!$B1317&gt;300,"Tinggi Kalori",IF(nutrition!$B1317&gt;100,"Kalori Sedang","Rendah Kalori"))</f>
        <v>Kalori Sedang</v>
      </c>
      <c r="H1317" s="27" t="s">
        <v>1321</v>
      </c>
    </row>
    <row r="1318" spans="1:8" x14ac:dyDescent="0.3">
      <c r="A1318" s="21">
        <v>1317</v>
      </c>
      <c r="B1318" s="22">
        <v>114</v>
      </c>
      <c r="C1318" s="22">
        <v>14</v>
      </c>
      <c r="D1318" s="22">
        <v>96</v>
      </c>
      <c r="E1318" s="22">
        <v>256</v>
      </c>
      <c r="F1318" s="24" t="str">
        <f>PROPER(nutrition!$H1318)</f>
        <v>Ubi Jalar Rebus</v>
      </c>
      <c r="G1318" s="22" t="str">
        <f>IF(nutrition!$B1318&gt;300,"Tinggi Kalori",IF(nutrition!$B1318&gt;100,"Kalori Sedang","Rendah Kalori"))</f>
        <v>Kalori Sedang</v>
      </c>
      <c r="H1318" s="23" t="s">
        <v>1322</v>
      </c>
    </row>
    <row r="1319" spans="1:8" x14ac:dyDescent="0.3">
      <c r="A1319" s="25">
        <v>1318</v>
      </c>
      <c r="B1319" s="26">
        <v>184</v>
      </c>
      <c r="C1319" s="26">
        <v>14</v>
      </c>
      <c r="D1319" s="26">
        <v>3</v>
      </c>
      <c r="E1319" s="26">
        <v>225</v>
      </c>
      <c r="F1319" s="28" t="str">
        <f>PROPER(nutrition!$H1319)</f>
        <v>Ubi Jalar Sayur</v>
      </c>
      <c r="G1319" s="26" t="str">
        <f>IF(nutrition!$B1319&gt;300,"Tinggi Kalori",IF(nutrition!$B1319&gt;100,"Kalori Sedang","Rendah Kalori"))</f>
        <v>Kalori Sedang</v>
      </c>
      <c r="H1319" s="27" t="s">
        <v>1323</v>
      </c>
    </row>
    <row r="1320" spans="1:8" x14ac:dyDescent="0.3">
      <c r="A1320" s="21">
        <v>1319</v>
      </c>
      <c r="B1320" s="22">
        <v>108</v>
      </c>
      <c r="C1320" s="22">
        <v>5</v>
      </c>
      <c r="D1320" s="22">
        <v>4</v>
      </c>
      <c r="E1320" s="22">
        <v>256</v>
      </c>
      <c r="F1320" s="24" t="str">
        <f>PROPER(nutrition!$H1320)</f>
        <v>Ubi Jalar Tinta/ Kemayung</v>
      </c>
      <c r="G1320" s="22" t="str">
        <f>IF(nutrition!$B1320&gt;300,"Tinggi Kalori",IF(nutrition!$B1320&gt;100,"Kalori Sedang","Rendah Kalori"))</f>
        <v>Kalori Sedang</v>
      </c>
      <c r="H1320" s="23" t="s">
        <v>1324</v>
      </c>
    </row>
    <row r="1321" spans="1:8" x14ac:dyDescent="0.3">
      <c r="A1321" s="25">
        <v>1320</v>
      </c>
      <c r="B1321" s="26">
        <v>165</v>
      </c>
      <c r="C1321" s="26">
        <v>9</v>
      </c>
      <c r="D1321" s="26">
        <v>2</v>
      </c>
      <c r="E1321" s="26">
        <v>398</v>
      </c>
      <c r="F1321" s="28" t="str">
        <f>PROPER(nutrition!$H1321)</f>
        <v>Ubi Jalar Tinta/ Kemayung Kukus</v>
      </c>
      <c r="G1321" s="26" t="str">
        <f>IF(nutrition!$B1321&gt;300,"Tinggi Kalori",IF(nutrition!$B1321&gt;100,"Kalori Sedang","Rendah Kalori"))</f>
        <v>Kalori Sedang</v>
      </c>
      <c r="H1321" s="27" t="s">
        <v>1325</v>
      </c>
    </row>
    <row r="1322" spans="1:8" x14ac:dyDescent="0.3">
      <c r="A1322" s="21">
        <v>1321</v>
      </c>
      <c r="B1322" s="22">
        <v>82</v>
      </c>
      <c r="C1322" s="22">
        <v>58</v>
      </c>
      <c r="D1322" s="22">
        <v>13</v>
      </c>
      <c r="E1322" s="22">
        <v>117</v>
      </c>
      <c r="F1322" s="24" t="str">
        <f>PROPER(nutrition!$H1322)</f>
        <v>Uceng/ Bunga Melinjo Segar</v>
      </c>
      <c r="G1322" s="22" t="str">
        <f>IF(nutrition!$B1322&gt;300,"Tinggi Kalori",IF(nutrition!$B1322&gt;100,"Kalori Sedang","Rendah Kalori"))</f>
        <v>Rendah Kalori</v>
      </c>
      <c r="H1322" s="23" t="s">
        <v>1326</v>
      </c>
    </row>
    <row r="1323" spans="1:8" x14ac:dyDescent="0.3">
      <c r="A1323" s="25">
        <v>1322</v>
      </c>
      <c r="B1323" s="26">
        <v>56</v>
      </c>
      <c r="C1323" s="26">
        <v>114</v>
      </c>
      <c r="D1323" s="26">
        <v>6</v>
      </c>
      <c r="E1323" s="26">
        <v>12</v>
      </c>
      <c r="F1323" s="28" t="str">
        <f>PROPER(nutrition!$H1323)</f>
        <v>Udang Besar Segar</v>
      </c>
      <c r="G1323" s="26" t="str">
        <f>IF(nutrition!$B1323&gt;300,"Tinggi Kalori",IF(nutrition!$B1323&gt;100,"Kalori Sedang","Rendah Kalori"))</f>
        <v>Rendah Kalori</v>
      </c>
      <c r="H1323" s="27" t="s">
        <v>1327</v>
      </c>
    </row>
    <row r="1324" spans="1:8" x14ac:dyDescent="0.3">
      <c r="A1324" s="21">
        <v>1323</v>
      </c>
      <c r="B1324" s="22">
        <v>81</v>
      </c>
      <c r="C1324" s="22">
        <v>165</v>
      </c>
      <c r="D1324" s="22">
        <v>3</v>
      </c>
      <c r="E1324" s="22">
        <v>3</v>
      </c>
      <c r="F1324" s="24" t="str">
        <f>PROPER(nutrition!$H1324)</f>
        <v>Udang Galah Segar</v>
      </c>
      <c r="G1324" s="22" t="str">
        <f>IF(nutrition!$B1324&gt;300,"Tinggi Kalori",IF(nutrition!$B1324&gt;100,"Kalori Sedang","Rendah Kalori"))</f>
        <v>Rendah Kalori</v>
      </c>
      <c r="H1324" s="23" t="s">
        <v>1328</v>
      </c>
    </row>
    <row r="1325" spans="1:8" x14ac:dyDescent="0.3">
      <c r="A1325" s="25">
        <v>1324</v>
      </c>
      <c r="B1325" s="26">
        <v>295</v>
      </c>
      <c r="C1325" s="26">
        <v>624</v>
      </c>
      <c r="D1325" s="26">
        <v>23</v>
      </c>
      <c r="E1325" s="26">
        <v>18</v>
      </c>
      <c r="F1325" s="28" t="str">
        <f>PROPER(nutrition!$H1325)</f>
        <v>Udang Kering</v>
      </c>
      <c r="G1325" s="26" t="str">
        <f>IF(nutrition!$B1325&gt;300,"Tinggi Kalori",IF(nutrition!$B1325&gt;100,"Kalori Sedang","Rendah Kalori"))</f>
        <v>Kalori Sedang</v>
      </c>
      <c r="H1325" s="27" t="s">
        <v>1329</v>
      </c>
    </row>
    <row r="1326" spans="1:8" x14ac:dyDescent="0.3">
      <c r="A1326" s="21">
        <v>1325</v>
      </c>
      <c r="B1326" s="22">
        <v>278</v>
      </c>
      <c r="C1326" s="22">
        <v>626</v>
      </c>
      <c r="D1326" s="22">
        <v>41</v>
      </c>
      <c r="E1326" s="22">
        <v>22</v>
      </c>
      <c r="F1326" s="24" t="str">
        <f>PROPER(nutrition!$H1326)</f>
        <v>Udang Kering Mentah</v>
      </c>
      <c r="G1326" s="22" t="str">
        <f>IF(nutrition!$B1326&gt;300,"Tinggi Kalori",IF(nutrition!$B1326&gt;100,"Kalori Sedang","Rendah Kalori"))</f>
        <v>Kalori Sedang</v>
      </c>
      <c r="H1326" s="23" t="s">
        <v>1330</v>
      </c>
    </row>
    <row r="1327" spans="1:8" x14ac:dyDescent="0.3">
      <c r="A1327" s="25">
        <v>1326</v>
      </c>
      <c r="B1327" s="26">
        <v>273</v>
      </c>
      <c r="C1327" s="26">
        <v>478</v>
      </c>
      <c r="D1327" s="26">
        <v>38</v>
      </c>
      <c r="E1327" s="26">
        <v>125</v>
      </c>
      <c r="F1327" s="28" t="str">
        <f>PROPER(nutrition!$H1327)</f>
        <v>Udang Papay Mentah</v>
      </c>
      <c r="G1327" s="26" t="str">
        <f>IF(nutrition!$B1327&gt;300,"Tinggi Kalori",IF(nutrition!$B1327&gt;100,"Kalori Sedang","Rendah Kalori"))</f>
        <v>Kalori Sedang</v>
      </c>
      <c r="H1327" s="27" t="s">
        <v>1331</v>
      </c>
    </row>
    <row r="1328" spans="1:8" x14ac:dyDescent="0.3">
      <c r="A1328" s="21">
        <v>1327</v>
      </c>
      <c r="B1328" s="22">
        <v>91</v>
      </c>
      <c r="C1328" s="22">
        <v>21</v>
      </c>
      <c r="D1328" s="22">
        <v>2</v>
      </c>
      <c r="E1328" s="22">
        <v>1</v>
      </c>
      <c r="F1328" s="24" t="str">
        <f>PROPER(nutrition!$H1328)</f>
        <v>Udang Segar</v>
      </c>
      <c r="G1328" s="22" t="str">
        <f>IF(nutrition!$B1328&gt;300,"Tinggi Kalori",IF(nutrition!$B1328&gt;100,"Kalori Sedang","Rendah Kalori"))</f>
        <v>Rendah Kalori</v>
      </c>
      <c r="H1328" s="23" t="s">
        <v>1332</v>
      </c>
    </row>
    <row r="1329" spans="1:8" x14ac:dyDescent="0.3">
      <c r="A1329" s="25">
        <v>1328</v>
      </c>
      <c r="B1329" s="26">
        <v>380</v>
      </c>
      <c r="C1329" s="26">
        <v>119</v>
      </c>
      <c r="D1329" s="26">
        <v>303</v>
      </c>
      <c r="E1329" s="26">
        <v>149</v>
      </c>
      <c r="F1329" s="28" t="str">
        <f>PROPER(nutrition!$H1329)</f>
        <v>Ulat Sagu Panggang</v>
      </c>
      <c r="G1329" s="26" t="str">
        <f>IF(nutrition!$B1329&gt;300,"Tinggi Kalori",IF(nutrition!$B1329&gt;100,"Kalori Sedang","Rendah Kalori"))</f>
        <v>Tinggi Kalori</v>
      </c>
      <c r="H1329" s="27" t="s">
        <v>1333</v>
      </c>
    </row>
    <row r="1330" spans="1:8" x14ac:dyDescent="0.3">
      <c r="A1330" s="21">
        <v>1329</v>
      </c>
      <c r="B1330" s="22">
        <v>241</v>
      </c>
      <c r="C1330" s="22">
        <v>58</v>
      </c>
      <c r="D1330" s="22">
        <v>216</v>
      </c>
      <c r="E1330" s="22">
        <v>58</v>
      </c>
      <c r="F1330" s="24" t="str">
        <f>PROPER(nutrition!$H1330)</f>
        <v>Ulat Sagu Segar</v>
      </c>
      <c r="G1330" s="22" t="str">
        <f>IF(nutrition!$B1330&gt;300,"Tinggi Kalori",IF(nutrition!$B1330&gt;100,"Kalori Sedang","Rendah Kalori"))</f>
        <v>Kalori Sedang</v>
      </c>
      <c r="H1330" s="23" t="s">
        <v>1334</v>
      </c>
    </row>
    <row r="1331" spans="1:8" x14ac:dyDescent="0.3">
      <c r="A1331" s="25">
        <v>1330</v>
      </c>
      <c r="B1331" s="26">
        <v>120</v>
      </c>
      <c r="C1331" s="26">
        <v>28</v>
      </c>
      <c r="D1331" s="26">
        <v>5</v>
      </c>
      <c r="E1331" s="26">
        <v>823</v>
      </c>
      <c r="F1331" s="28" t="str">
        <f>PROPER(nutrition!$H1331)</f>
        <v>Umbi Uwi Segar</v>
      </c>
      <c r="G1331" s="26" t="str">
        <f>IF(nutrition!$B1331&gt;300,"Tinggi Kalori",IF(nutrition!$B1331&gt;100,"Kalori Sedang","Rendah Kalori"))</f>
        <v>Kalori Sedang</v>
      </c>
      <c r="H1331" s="27" t="s">
        <v>1335</v>
      </c>
    </row>
    <row r="1332" spans="1:8" x14ac:dyDescent="0.3">
      <c r="A1332" s="21">
        <v>1331</v>
      </c>
      <c r="B1332" s="22">
        <v>34</v>
      </c>
      <c r="C1332" s="22">
        <v>24</v>
      </c>
      <c r="D1332" s="22">
        <v>3</v>
      </c>
      <c r="E1332" s="22">
        <v>55</v>
      </c>
      <c r="F1332" s="24" t="str">
        <f>PROPER(nutrition!$H1332)</f>
        <v>Umbut Rotan</v>
      </c>
      <c r="G1332" s="22" t="str">
        <f>IF(nutrition!$B1332&gt;300,"Tinggi Kalori",IF(nutrition!$B1332&gt;100,"Kalori Sedang","Rendah Kalori"))</f>
        <v>Rendah Kalori</v>
      </c>
      <c r="H1332" s="23" t="s">
        <v>1336</v>
      </c>
    </row>
    <row r="1333" spans="1:8" x14ac:dyDescent="0.3">
      <c r="A1333" s="25">
        <v>1332</v>
      </c>
      <c r="B1333" s="26">
        <v>130</v>
      </c>
      <c r="C1333" s="26">
        <v>14</v>
      </c>
      <c r="D1333" s="26">
        <v>72</v>
      </c>
      <c r="E1333" s="26">
        <v>15</v>
      </c>
      <c r="F1333" s="28" t="str">
        <f>PROPER(nutrition!$H1333)</f>
        <v>Usus Sapi</v>
      </c>
      <c r="G1333" s="26" t="str">
        <f>IF(nutrition!$B1333&gt;300,"Tinggi Kalori",IF(nutrition!$B1333&gt;100,"Kalori Sedang","Rendah Kalori"))</f>
        <v>Kalori Sedang</v>
      </c>
      <c r="H1333" s="27" t="s">
        <v>1337</v>
      </c>
    </row>
    <row r="1334" spans="1:8" x14ac:dyDescent="0.3">
      <c r="A1334" s="21">
        <v>1333</v>
      </c>
      <c r="B1334" s="22">
        <v>101</v>
      </c>
      <c r="C1334" s="22">
        <v>2</v>
      </c>
      <c r="D1334" s="22">
        <v>2</v>
      </c>
      <c r="E1334" s="22">
        <v>198</v>
      </c>
      <c r="F1334" s="24" t="str">
        <f>PROPER(nutrition!$H1334)</f>
        <v>Uwi</v>
      </c>
      <c r="G1334" s="22" t="str">
        <f>IF(nutrition!$B1334&gt;300,"Tinggi Kalori",IF(nutrition!$B1334&gt;100,"Kalori Sedang","Rendah Kalori"))</f>
        <v>Kalori Sedang</v>
      </c>
      <c r="H1334" s="23" t="s">
        <v>1338</v>
      </c>
    </row>
    <row r="1335" spans="1:8" x14ac:dyDescent="0.3">
      <c r="A1335" s="25">
        <v>1334</v>
      </c>
      <c r="B1335" s="26">
        <v>363</v>
      </c>
      <c r="C1335" s="26">
        <v>87</v>
      </c>
      <c r="D1335" s="26">
        <v>4</v>
      </c>
      <c r="E1335" s="26">
        <v>787</v>
      </c>
      <c r="F1335" s="28" t="str">
        <f>PROPER(nutrition!$H1335)</f>
        <v>Vermicelli</v>
      </c>
      <c r="G1335" s="26" t="str">
        <f>IF(nutrition!$B1335&gt;300,"Tinggi Kalori",IF(nutrition!$B1335&gt;100,"Kalori Sedang","Rendah Kalori"))</f>
        <v>Tinggi Kalori</v>
      </c>
      <c r="H1335" s="27" t="s">
        <v>1339</v>
      </c>
    </row>
    <row r="1336" spans="1:8" x14ac:dyDescent="0.3">
      <c r="A1336" s="21">
        <v>1335</v>
      </c>
      <c r="B1336" s="22">
        <v>303</v>
      </c>
      <c r="C1336" s="22">
        <v>63</v>
      </c>
      <c r="D1336" s="22">
        <v>27</v>
      </c>
      <c r="E1336" s="22">
        <v>633</v>
      </c>
      <c r="F1336" s="24" t="str">
        <f>PROPER(nutrition!$H1336)</f>
        <v>Wajit Camilan</v>
      </c>
      <c r="G1336" s="22" t="str">
        <f>IF(nutrition!$B1336&gt;300,"Tinggi Kalori",IF(nutrition!$B1336&gt;100,"Kalori Sedang","Rendah Kalori"))</f>
        <v>Tinggi Kalori</v>
      </c>
      <c r="H1336" s="23" t="s">
        <v>1340</v>
      </c>
    </row>
    <row r="1337" spans="1:8" x14ac:dyDescent="0.3">
      <c r="A1337" s="25">
        <v>1336</v>
      </c>
      <c r="B1337" s="26">
        <v>45</v>
      </c>
      <c r="C1337" s="26">
        <v>8</v>
      </c>
      <c r="D1337" s="26">
        <v>9</v>
      </c>
      <c r="E1337" s="26">
        <v>81</v>
      </c>
      <c r="F1337" s="28" t="str">
        <f>PROPER(nutrition!$H1337)</f>
        <v>Waluh Balamak</v>
      </c>
      <c r="G1337" s="26" t="str">
        <f>IF(nutrition!$B1337&gt;300,"Tinggi Kalori",IF(nutrition!$B1337&gt;100,"Kalori Sedang","Rendah Kalori"))</f>
        <v>Rendah Kalori</v>
      </c>
      <c r="H1337" s="27" t="s">
        <v>1341</v>
      </c>
    </row>
    <row r="1338" spans="1:8" x14ac:dyDescent="0.3">
      <c r="A1338" s="21">
        <v>1337</v>
      </c>
      <c r="B1338" s="22">
        <v>424</v>
      </c>
      <c r="C1338" s="22">
        <v>13</v>
      </c>
      <c r="D1338" s="22">
        <v>107</v>
      </c>
      <c r="E1338" s="22">
        <v>807</v>
      </c>
      <c r="F1338" s="24" t="str">
        <f>PROPER(nutrition!$H1338)</f>
        <v>Widaran</v>
      </c>
      <c r="G1338" s="22" t="str">
        <f>IF(nutrition!$B1338&gt;300,"Tinggi Kalori",IF(nutrition!$B1338&gt;100,"Kalori Sedang","Rendah Kalori"))</f>
        <v>Tinggi Kalori</v>
      </c>
      <c r="H1338" s="23" t="s">
        <v>1342</v>
      </c>
    </row>
    <row r="1339" spans="1:8" x14ac:dyDescent="0.3">
      <c r="A1339" s="25">
        <v>1338</v>
      </c>
      <c r="B1339" s="26">
        <v>568</v>
      </c>
      <c r="C1339" s="26">
        <v>193</v>
      </c>
      <c r="D1339" s="26">
        <v>511</v>
      </c>
      <c r="E1339" s="26">
        <v>181</v>
      </c>
      <c r="F1339" s="28" t="str">
        <f>PROPER(nutrition!$H1339)</f>
        <v>Wijen</v>
      </c>
      <c r="G1339" s="26" t="str">
        <f>IF(nutrition!$B1339&gt;300,"Tinggi Kalori",IF(nutrition!$B1339&gt;100,"Kalori Sedang","Rendah Kalori"))</f>
        <v>Tinggi Kalori</v>
      </c>
      <c r="H1339" s="27" t="s">
        <v>1343</v>
      </c>
    </row>
    <row r="1340" spans="1:8" x14ac:dyDescent="0.3">
      <c r="A1340" s="21">
        <v>1339</v>
      </c>
      <c r="B1340" s="22">
        <v>355</v>
      </c>
      <c r="C1340" s="22">
        <v>32</v>
      </c>
      <c r="D1340" s="22">
        <v>151</v>
      </c>
      <c r="E1340" s="22">
        <v>514</v>
      </c>
      <c r="F1340" s="24" t="str">
        <f>PROPER(nutrition!$H1340)</f>
        <v>Wingko Babat</v>
      </c>
      <c r="G1340" s="22" t="str">
        <f>IF(nutrition!$B1340&gt;300,"Tinggi Kalori",IF(nutrition!$B1340&gt;100,"Kalori Sedang","Rendah Kalori"))</f>
        <v>Tinggi Kalori</v>
      </c>
      <c r="H1340" s="23" t="s">
        <v>1344</v>
      </c>
    </row>
    <row r="1341" spans="1:8" x14ac:dyDescent="0.3">
      <c r="A1341" s="25">
        <v>1340</v>
      </c>
      <c r="B1341" s="26">
        <v>143</v>
      </c>
      <c r="C1341" s="26">
        <v>31</v>
      </c>
      <c r="D1341" s="26">
        <v>78</v>
      </c>
      <c r="E1341" s="26">
        <v>15</v>
      </c>
      <c r="F1341" s="28" t="str">
        <f>PROPER(nutrition!$H1341)</f>
        <v>Woku Ubi</v>
      </c>
      <c r="G1341" s="26" t="str">
        <f>IF(nutrition!$B1341&gt;300,"Tinggi Kalori",IF(nutrition!$B1341&gt;100,"Kalori Sedang","Rendah Kalori"))</f>
        <v>Kalori Sedang</v>
      </c>
      <c r="H1341" s="27" t="s">
        <v>1345</v>
      </c>
    </row>
    <row r="1342" spans="1:8" x14ac:dyDescent="0.3">
      <c r="A1342" s="21">
        <v>1341</v>
      </c>
      <c r="B1342" s="22">
        <v>452</v>
      </c>
      <c r="C1342" s="22">
        <v>145</v>
      </c>
      <c r="D1342" s="22">
        <v>423</v>
      </c>
      <c r="E1342" s="22">
        <v>23</v>
      </c>
      <c r="F1342" s="24" t="str">
        <f>PROPER(nutrition!$H1342)</f>
        <v>Worst (Sosis Daging)</v>
      </c>
      <c r="G1342" s="22" t="str">
        <f>IF(nutrition!$B1342&gt;300,"Tinggi Kalori",IF(nutrition!$B1342&gt;100,"Kalori Sedang","Rendah Kalori"))</f>
        <v>Tinggi Kalori</v>
      </c>
      <c r="H1342" s="23" t="s">
        <v>1346</v>
      </c>
    </row>
    <row r="1343" spans="1:8" x14ac:dyDescent="0.3">
      <c r="A1343" s="25">
        <v>1342</v>
      </c>
      <c r="B1343" s="26">
        <v>42</v>
      </c>
      <c r="C1343" s="26">
        <v>12</v>
      </c>
      <c r="D1343" s="26">
        <v>6</v>
      </c>
      <c r="E1343" s="26">
        <v>93</v>
      </c>
      <c r="F1343" s="28" t="str">
        <f>PROPER(nutrition!$H1343)</f>
        <v>Wortel Segar</v>
      </c>
      <c r="G1343" s="26" t="str">
        <f>IF(nutrition!$B1343&gt;300,"Tinggi Kalori",IF(nutrition!$B1343&gt;100,"Kalori Sedang","Rendah Kalori"))</f>
        <v>Rendah Kalori</v>
      </c>
      <c r="H1343" s="27" t="s">
        <v>1347</v>
      </c>
    </row>
    <row r="1344" spans="1:8" x14ac:dyDescent="0.3">
      <c r="A1344" s="21">
        <v>1343</v>
      </c>
      <c r="B1344" s="22">
        <v>37</v>
      </c>
      <c r="C1344" s="22">
        <v>1</v>
      </c>
      <c r="D1344" s="22">
        <v>6</v>
      </c>
      <c r="E1344" s="22">
        <v>83</v>
      </c>
      <c r="F1344" s="24" t="str">
        <f>PROPER(nutrition!$H1344)</f>
        <v>Wortel Kukus</v>
      </c>
      <c r="G1344" s="22" t="str">
        <f>IF(nutrition!$B1344&gt;300,"Tinggi Kalori",IF(nutrition!$B1344&gt;100,"Kalori Sedang","Rendah Kalori"))</f>
        <v>Rendah Kalori</v>
      </c>
      <c r="H1344" s="23" t="s">
        <v>1348</v>
      </c>
    </row>
    <row r="1345" spans="1:8" x14ac:dyDescent="0.3">
      <c r="A1345" s="25">
        <v>1344</v>
      </c>
      <c r="B1345" s="26">
        <v>28</v>
      </c>
      <c r="C1345" s="26">
        <v>7</v>
      </c>
      <c r="D1345" s="26">
        <v>5</v>
      </c>
      <c r="E1345" s="26">
        <v>63</v>
      </c>
      <c r="F1345" s="28" t="str">
        <f>PROPER(nutrition!$H1345)</f>
        <v>Wortel Rebus</v>
      </c>
      <c r="G1345" s="26" t="str">
        <f>IF(nutrition!$B1345&gt;300,"Tinggi Kalori",IF(nutrition!$B1345&gt;100,"Kalori Sedang","Rendah Kalori"))</f>
        <v>Rendah Kalori</v>
      </c>
      <c r="H1345" s="27" t="s">
        <v>1349</v>
      </c>
    </row>
    <row r="1346" spans="1:8" x14ac:dyDescent="0.3">
      <c r="A1346" s="21">
        <v>1345</v>
      </c>
      <c r="B1346" s="22">
        <v>254</v>
      </c>
      <c r="C1346" s="22">
        <v>3</v>
      </c>
      <c r="D1346" s="22">
        <v>11</v>
      </c>
      <c r="E1346" s="22">
        <v>581</v>
      </c>
      <c r="F1346" s="24" t="str">
        <f>PROPER(nutrition!$H1346)</f>
        <v>Yangko</v>
      </c>
      <c r="G1346" s="22" t="str">
        <f>IF(nutrition!$B1346&gt;300,"Tinggi Kalori",IF(nutrition!$B1346&gt;100,"Kalori Sedang","Rendah Kalori"))</f>
        <v>Kalori Sedang</v>
      </c>
      <c r="H1346" s="23" t="s">
        <v>1350</v>
      </c>
    </row>
    <row r="1347" spans="1:8" x14ac:dyDescent="0.3">
      <c r="A1347" s="15">
        <v>1346</v>
      </c>
      <c r="B1347" s="16">
        <v>52</v>
      </c>
      <c r="C1347" s="16">
        <v>33</v>
      </c>
      <c r="D1347" s="16">
        <v>25</v>
      </c>
      <c r="E1347" s="16">
        <v>4</v>
      </c>
      <c r="F1347" s="17" t="str">
        <f>PROPER(nutrition!$H1347)</f>
        <v>Yoghurt</v>
      </c>
      <c r="G1347" s="16" t="str">
        <f>IF(nutrition!$B1347&gt;300,"Tinggi Kalori",IF(nutrition!$B1347&gt;100,"Kalori Sedang","Rendah Kalori"))</f>
        <v>Rendah Kalori</v>
      </c>
      <c r="H1347" s="29" t="s">
        <v>1351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C6A9-765B-487B-98CD-2AE7A1213AF6}">
  <dimension ref="B2:K110"/>
  <sheetViews>
    <sheetView tabSelected="1" topLeftCell="A17" zoomScale="75" workbookViewId="0">
      <selection activeCell="N26" sqref="N26"/>
    </sheetView>
  </sheetViews>
  <sheetFormatPr defaultRowHeight="14.4" x14ac:dyDescent="0.3"/>
  <cols>
    <col min="2" max="2" width="34.21875" bestFit="1" customWidth="1"/>
    <col min="3" max="3" width="17.44140625" bestFit="1" customWidth="1"/>
    <col min="4" max="4" width="12.5546875" bestFit="1" customWidth="1"/>
    <col min="5" max="5" width="42.21875" bestFit="1" customWidth="1"/>
    <col min="10" max="10" width="27.6640625" bestFit="1" customWidth="1"/>
    <col min="11" max="11" width="5" bestFit="1" customWidth="1"/>
  </cols>
  <sheetData>
    <row r="2" spans="2:11" x14ac:dyDescent="0.3">
      <c r="B2" s="3"/>
      <c r="C2" s="4"/>
      <c r="D2" s="5"/>
    </row>
    <row r="3" spans="2:11" x14ac:dyDescent="0.3">
      <c r="B3" s="12" t="s">
        <v>1353</v>
      </c>
      <c r="C3" s="13"/>
      <c r="D3" s="14"/>
      <c r="J3" s="10" t="s">
        <v>4</v>
      </c>
      <c r="K3" s="11">
        <v>0</v>
      </c>
    </row>
    <row r="4" spans="2:11" x14ac:dyDescent="0.3">
      <c r="B4" s="6"/>
      <c r="C4" s="7"/>
      <c r="D4" s="8"/>
    </row>
    <row r="5" spans="2:11" x14ac:dyDescent="0.3">
      <c r="J5" s="10" t="s">
        <v>1358</v>
      </c>
    </row>
    <row r="6" spans="2:11" x14ac:dyDescent="0.3">
      <c r="B6" s="2" t="s">
        <v>1354</v>
      </c>
      <c r="C6" s="9">
        <f>AVERAGE(nutrition!B:B)</f>
        <v>238.65304606240713</v>
      </c>
      <c r="J6" s="11" t="s">
        <v>6</v>
      </c>
    </row>
    <row r="7" spans="2:11" x14ac:dyDescent="0.3">
      <c r="B7" s="2" t="s">
        <v>1355</v>
      </c>
      <c r="C7">
        <f>MAX(nutrition!C:C)</f>
        <v>743</v>
      </c>
      <c r="E7" s="2" t="s">
        <v>1356</v>
      </c>
      <c r="J7" s="11" t="s">
        <v>8</v>
      </c>
    </row>
    <row r="8" spans="2:11" x14ac:dyDescent="0.3">
      <c r="B8" s="2" t="s">
        <v>1357</v>
      </c>
      <c r="C8">
        <f>COUNTIF(nutrition!$G$2:$G$1347,"Tinggi Kalori")</f>
        <v>412</v>
      </c>
      <c r="E8" t="str">
        <f>_xlfn.XLOOKUP(MAX(nutrition!C:C),nutrition!C:C,nutrition!H:H)</f>
        <v>Dendeng mujahir goreng</v>
      </c>
      <c r="J8" s="11" t="s">
        <v>16</v>
      </c>
    </row>
    <row r="9" spans="2:11" x14ac:dyDescent="0.3">
      <c r="J9" s="11" t="s">
        <v>17</v>
      </c>
    </row>
    <row r="10" spans="2:11" x14ac:dyDescent="0.3">
      <c r="J10" s="11" t="s">
        <v>18</v>
      </c>
    </row>
    <row r="11" spans="2:11" x14ac:dyDescent="0.3">
      <c r="J11" s="11" t="s">
        <v>22</v>
      </c>
    </row>
    <row r="12" spans="2:11" x14ac:dyDescent="0.3">
      <c r="J12" s="11" t="s">
        <v>35</v>
      </c>
    </row>
    <row r="13" spans="2:11" x14ac:dyDescent="0.3">
      <c r="J13" s="11" t="s">
        <v>54</v>
      </c>
    </row>
    <row r="14" spans="2:11" x14ac:dyDescent="0.3">
      <c r="J14" s="11" t="s">
        <v>55</v>
      </c>
    </row>
    <row r="15" spans="2:11" x14ac:dyDescent="0.3">
      <c r="B15" s="10" t="s">
        <v>1358</v>
      </c>
      <c r="C15" t="s">
        <v>1360</v>
      </c>
      <c r="J15" s="11" t="s">
        <v>56</v>
      </c>
    </row>
    <row r="16" spans="2:11" x14ac:dyDescent="0.3">
      <c r="B16" s="11" t="s">
        <v>1260</v>
      </c>
      <c r="C16" s="1">
        <v>601</v>
      </c>
      <c r="J16" s="11" t="s">
        <v>92</v>
      </c>
    </row>
    <row r="17" spans="2:10" x14ac:dyDescent="0.3">
      <c r="B17" s="11" t="s">
        <v>520</v>
      </c>
      <c r="C17" s="1">
        <v>601</v>
      </c>
      <c r="J17" s="11" t="s">
        <v>222</v>
      </c>
    </row>
    <row r="18" spans="2:10" x14ac:dyDescent="0.3">
      <c r="B18" s="11" t="s">
        <v>499</v>
      </c>
      <c r="C18" s="1">
        <v>613</v>
      </c>
      <c r="J18" s="11" t="s">
        <v>225</v>
      </c>
    </row>
    <row r="19" spans="2:10" x14ac:dyDescent="0.3">
      <c r="B19" s="11" t="s">
        <v>1329</v>
      </c>
      <c r="C19" s="1">
        <v>624</v>
      </c>
      <c r="J19" s="11" t="s">
        <v>227</v>
      </c>
    </row>
    <row r="20" spans="2:10" x14ac:dyDescent="0.3">
      <c r="B20" s="11" t="s">
        <v>1330</v>
      </c>
      <c r="C20" s="1">
        <v>626</v>
      </c>
      <c r="J20" s="11" t="s">
        <v>229</v>
      </c>
    </row>
    <row r="21" spans="2:10" x14ac:dyDescent="0.3">
      <c r="B21" s="11" t="s">
        <v>483</v>
      </c>
      <c r="C21" s="1">
        <v>683</v>
      </c>
      <c r="J21" s="11" t="s">
        <v>230</v>
      </c>
    </row>
    <row r="22" spans="2:10" x14ac:dyDescent="0.3">
      <c r="B22" s="11" t="s">
        <v>524</v>
      </c>
      <c r="C22" s="1">
        <v>687</v>
      </c>
      <c r="J22" s="11" t="s">
        <v>231</v>
      </c>
    </row>
    <row r="23" spans="2:10" x14ac:dyDescent="0.3">
      <c r="B23" s="11" t="s">
        <v>466</v>
      </c>
      <c r="C23" s="1">
        <v>707</v>
      </c>
      <c r="J23" s="11" t="s">
        <v>232</v>
      </c>
    </row>
    <row r="24" spans="2:10" x14ac:dyDescent="0.3">
      <c r="B24" s="11" t="s">
        <v>482</v>
      </c>
      <c r="C24" s="1">
        <v>743</v>
      </c>
      <c r="J24" s="11" t="s">
        <v>233</v>
      </c>
    </row>
    <row r="25" spans="2:10" x14ac:dyDescent="0.3">
      <c r="B25" s="11" t="s">
        <v>326</v>
      </c>
      <c r="C25" s="1">
        <v>743</v>
      </c>
      <c r="J25" s="11" t="s">
        <v>234</v>
      </c>
    </row>
    <row r="26" spans="2:10" x14ac:dyDescent="0.3">
      <c r="B26" s="11" t="s">
        <v>1359</v>
      </c>
      <c r="C26" s="1">
        <v>743</v>
      </c>
      <c r="J26" s="11" t="s">
        <v>235</v>
      </c>
    </row>
    <row r="27" spans="2:10" x14ac:dyDescent="0.3">
      <c r="J27" s="11" t="s">
        <v>237</v>
      </c>
    </row>
    <row r="28" spans="2:10" x14ac:dyDescent="0.3">
      <c r="J28" s="11" t="s">
        <v>325</v>
      </c>
    </row>
    <row r="29" spans="2:10" x14ac:dyDescent="0.3">
      <c r="J29" s="11" t="s">
        <v>328</v>
      </c>
    </row>
    <row r="30" spans="2:10" x14ac:dyDescent="0.3">
      <c r="J30" s="11" t="s">
        <v>337</v>
      </c>
    </row>
    <row r="31" spans="2:10" x14ac:dyDescent="0.3">
      <c r="J31" s="11" t="s">
        <v>338</v>
      </c>
    </row>
    <row r="32" spans="2:10" x14ac:dyDescent="0.3">
      <c r="J32" s="11" t="s">
        <v>346</v>
      </c>
    </row>
    <row r="33" spans="2:10" x14ac:dyDescent="0.3">
      <c r="J33" s="11" t="s">
        <v>416</v>
      </c>
    </row>
    <row r="34" spans="2:10" x14ac:dyDescent="0.3">
      <c r="J34" s="11" t="s">
        <v>417</v>
      </c>
    </row>
    <row r="35" spans="2:10" x14ac:dyDescent="0.3">
      <c r="J35" s="11" t="s">
        <v>418</v>
      </c>
    </row>
    <row r="36" spans="2:10" x14ac:dyDescent="0.3">
      <c r="J36" s="11" t="s">
        <v>419</v>
      </c>
    </row>
    <row r="37" spans="2:10" x14ac:dyDescent="0.3">
      <c r="B37" s="10" t="s">
        <v>1358</v>
      </c>
      <c r="C37" t="s">
        <v>1364</v>
      </c>
      <c r="D37" t="s">
        <v>1365</v>
      </c>
      <c r="E37" t="s">
        <v>1366</v>
      </c>
      <c r="J37" s="11" t="s">
        <v>420</v>
      </c>
    </row>
    <row r="38" spans="2:10" x14ac:dyDescent="0.3">
      <c r="B38" s="11" t="s">
        <v>1361</v>
      </c>
      <c r="C38" s="9">
        <v>88.349680170575695</v>
      </c>
      <c r="D38" s="9">
        <v>42.441364605543711</v>
      </c>
      <c r="E38" s="9">
        <v>176.45415778251598</v>
      </c>
      <c r="J38" s="11" t="s">
        <v>421</v>
      </c>
    </row>
    <row r="39" spans="2:10" x14ac:dyDescent="0.3">
      <c r="B39" s="11" t="s">
        <v>1362</v>
      </c>
      <c r="C39" s="9">
        <v>34.815053763440858</v>
      </c>
      <c r="D39" s="9">
        <v>9.1999999999999993</v>
      </c>
      <c r="E39" s="9">
        <v>72.546236559139786</v>
      </c>
      <c r="J39" s="11" t="s">
        <v>422</v>
      </c>
    </row>
    <row r="40" spans="2:10" x14ac:dyDescent="0.3">
      <c r="B40" s="11" t="s">
        <v>1363</v>
      </c>
      <c r="C40" s="9">
        <v>119.80825242718447</v>
      </c>
      <c r="D40" s="9">
        <v>124.54368932038835</v>
      </c>
      <c r="E40" s="9">
        <v>405.02184466019418</v>
      </c>
      <c r="J40" s="11" t="s">
        <v>423</v>
      </c>
    </row>
    <row r="41" spans="2:10" x14ac:dyDescent="0.3">
      <c r="B41" s="11" t="s">
        <v>1359</v>
      </c>
      <c r="C41" s="9">
        <v>79.484398216939084</v>
      </c>
      <c r="D41" s="9">
        <v>56.088410104011885</v>
      </c>
      <c r="E41" s="9">
        <v>210.52005943536403</v>
      </c>
      <c r="J41" s="11" t="s">
        <v>424</v>
      </c>
    </row>
    <row r="42" spans="2:10" x14ac:dyDescent="0.3">
      <c r="J42" s="11" t="s">
        <v>427</v>
      </c>
    </row>
    <row r="43" spans="2:10" x14ac:dyDescent="0.3">
      <c r="J43" s="11" t="s">
        <v>433</v>
      </c>
    </row>
    <row r="44" spans="2:10" x14ac:dyDescent="0.3">
      <c r="J44" s="11" t="s">
        <v>439</v>
      </c>
    </row>
    <row r="45" spans="2:10" x14ac:dyDescent="0.3">
      <c r="J45" s="11" t="s">
        <v>452</v>
      </c>
    </row>
    <row r="46" spans="2:10" x14ac:dyDescent="0.3">
      <c r="J46" s="11" t="s">
        <v>454</v>
      </c>
    </row>
    <row r="47" spans="2:10" x14ac:dyDescent="0.3">
      <c r="J47" s="11" t="s">
        <v>455</v>
      </c>
    </row>
    <row r="48" spans="2:10" x14ac:dyDescent="0.3">
      <c r="J48" s="11" t="s">
        <v>461</v>
      </c>
    </row>
    <row r="49" spans="10:10" x14ac:dyDescent="0.3">
      <c r="J49" s="11" t="s">
        <v>467</v>
      </c>
    </row>
    <row r="50" spans="10:10" x14ac:dyDescent="0.3">
      <c r="J50" s="11" t="s">
        <v>470</v>
      </c>
    </row>
    <row r="51" spans="10:10" x14ac:dyDescent="0.3">
      <c r="J51" s="11" t="s">
        <v>472</v>
      </c>
    </row>
    <row r="52" spans="10:10" x14ac:dyDescent="0.3">
      <c r="J52" s="11" t="s">
        <v>473</v>
      </c>
    </row>
    <row r="53" spans="10:10" x14ac:dyDescent="0.3">
      <c r="J53" s="11" t="s">
        <v>474</v>
      </c>
    </row>
    <row r="54" spans="10:10" x14ac:dyDescent="0.3">
      <c r="J54" s="11" t="s">
        <v>478</v>
      </c>
    </row>
    <row r="55" spans="10:10" x14ac:dyDescent="0.3">
      <c r="J55" s="11" t="s">
        <v>479</v>
      </c>
    </row>
    <row r="56" spans="10:10" x14ac:dyDescent="0.3">
      <c r="J56" s="11" t="s">
        <v>484</v>
      </c>
    </row>
    <row r="57" spans="10:10" x14ac:dyDescent="0.3">
      <c r="J57" s="11" t="s">
        <v>486</v>
      </c>
    </row>
    <row r="58" spans="10:10" x14ac:dyDescent="0.3">
      <c r="J58" s="11" t="s">
        <v>494</v>
      </c>
    </row>
    <row r="59" spans="10:10" x14ac:dyDescent="0.3">
      <c r="J59" s="11" t="s">
        <v>496</v>
      </c>
    </row>
    <row r="60" spans="10:10" x14ac:dyDescent="0.3">
      <c r="J60" s="11" t="s">
        <v>497</v>
      </c>
    </row>
    <row r="61" spans="10:10" x14ac:dyDescent="0.3">
      <c r="J61" s="11" t="s">
        <v>498</v>
      </c>
    </row>
    <row r="62" spans="10:10" x14ac:dyDescent="0.3">
      <c r="J62" s="11" t="s">
        <v>505</v>
      </c>
    </row>
    <row r="63" spans="10:10" x14ac:dyDescent="0.3">
      <c r="J63" s="11" t="s">
        <v>506</v>
      </c>
    </row>
    <row r="64" spans="10:10" x14ac:dyDescent="0.3">
      <c r="J64" s="11" t="s">
        <v>507</v>
      </c>
    </row>
    <row r="65" spans="10:10" x14ac:dyDescent="0.3">
      <c r="J65" s="11" t="s">
        <v>508</v>
      </c>
    </row>
    <row r="66" spans="10:10" x14ac:dyDescent="0.3">
      <c r="J66" s="11" t="s">
        <v>509</v>
      </c>
    </row>
    <row r="67" spans="10:10" x14ac:dyDescent="0.3">
      <c r="J67" s="11" t="s">
        <v>518</v>
      </c>
    </row>
    <row r="68" spans="10:10" x14ac:dyDescent="0.3">
      <c r="J68" s="11" t="s">
        <v>523</v>
      </c>
    </row>
    <row r="69" spans="10:10" x14ac:dyDescent="0.3">
      <c r="J69" s="11" t="s">
        <v>524</v>
      </c>
    </row>
    <row r="70" spans="10:10" x14ac:dyDescent="0.3">
      <c r="J70" s="11" t="s">
        <v>525</v>
      </c>
    </row>
    <row r="71" spans="10:10" x14ac:dyDescent="0.3">
      <c r="J71" s="11" t="s">
        <v>565</v>
      </c>
    </row>
    <row r="72" spans="10:10" x14ac:dyDescent="0.3">
      <c r="J72" s="11" t="s">
        <v>576</v>
      </c>
    </row>
    <row r="73" spans="10:10" x14ac:dyDescent="0.3">
      <c r="J73" s="11" t="s">
        <v>670</v>
      </c>
    </row>
    <row r="74" spans="10:10" x14ac:dyDescent="0.3">
      <c r="J74" s="11" t="s">
        <v>676</v>
      </c>
    </row>
    <row r="75" spans="10:10" x14ac:dyDescent="0.3">
      <c r="J75" s="11" t="s">
        <v>691</v>
      </c>
    </row>
    <row r="76" spans="10:10" x14ac:dyDescent="0.3">
      <c r="J76" s="11" t="s">
        <v>711</v>
      </c>
    </row>
    <row r="77" spans="10:10" x14ac:dyDescent="0.3">
      <c r="J77" s="11" t="s">
        <v>726</v>
      </c>
    </row>
    <row r="78" spans="10:10" x14ac:dyDescent="0.3">
      <c r="J78" s="11" t="s">
        <v>748</v>
      </c>
    </row>
    <row r="79" spans="10:10" x14ac:dyDescent="0.3">
      <c r="J79" s="11" t="s">
        <v>773</v>
      </c>
    </row>
    <row r="80" spans="10:10" x14ac:dyDescent="0.3">
      <c r="J80" s="11" t="s">
        <v>820</v>
      </c>
    </row>
    <row r="81" spans="10:10" x14ac:dyDescent="0.3">
      <c r="J81" s="11" t="s">
        <v>843</v>
      </c>
    </row>
    <row r="82" spans="10:10" x14ac:dyDescent="0.3">
      <c r="J82" s="11" t="s">
        <v>846</v>
      </c>
    </row>
    <row r="83" spans="10:10" x14ac:dyDescent="0.3">
      <c r="J83" s="11" t="s">
        <v>907</v>
      </c>
    </row>
    <row r="84" spans="10:10" x14ac:dyDescent="0.3">
      <c r="J84" s="11" t="s">
        <v>908</v>
      </c>
    </row>
    <row r="85" spans="10:10" x14ac:dyDescent="0.3">
      <c r="J85" s="11" t="s">
        <v>909</v>
      </c>
    </row>
    <row r="86" spans="10:10" x14ac:dyDescent="0.3">
      <c r="J86" s="11" t="s">
        <v>910</v>
      </c>
    </row>
    <row r="87" spans="10:10" x14ac:dyDescent="0.3">
      <c r="J87" s="11" t="s">
        <v>911</v>
      </c>
    </row>
    <row r="88" spans="10:10" x14ac:dyDescent="0.3">
      <c r="J88" s="11" t="s">
        <v>912</v>
      </c>
    </row>
    <row r="89" spans="10:10" x14ac:dyDescent="0.3">
      <c r="J89" s="11" t="s">
        <v>913</v>
      </c>
    </row>
    <row r="90" spans="10:10" x14ac:dyDescent="0.3">
      <c r="J90" s="11" t="s">
        <v>914</v>
      </c>
    </row>
    <row r="91" spans="10:10" x14ac:dyDescent="0.3">
      <c r="J91" s="11" t="s">
        <v>973</v>
      </c>
    </row>
    <row r="92" spans="10:10" x14ac:dyDescent="0.3">
      <c r="J92" s="11" t="s">
        <v>998</v>
      </c>
    </row>
    <row r="93" spans="10:10" x14ac:dyDescent="0.3">
      <c r="J93" s="11" t="s">
        <v>999</v>
      </c>
    </row>
    <row r="94" spans="10:10" x14ac:dyDescent="0.3">
      <c r="J94" s="11" t="s">
        <v>1000</v>
      </c>
    </row>
    <row r="95" spans="10:10" x14ac:dyDescent="0.3">
      <c r="J95" s="11" t="s">
        <v>1001</v>
      </c>
    </row>
    <row r="96" spans="10:10" x14ac:dyDescent="0.3">
      <c r="J96" s="11" t="s">
        <v>1002</v>
      </c>
    </row>
    <row r="97" spans="10:10" x14ac:dyDescent="0.3">
      <c r="J97" s="11" t="s">
        <v>1060</v>
      </c>
    </row>
    <row r="98" spans="10:10" x14ac:dyDescent="0.3">
      <c r="J98" s="11" t="s">
        <v>1083</v>
      </c>
    </row>
    <row r="99" spans="10:10" x14ac:dyDescent="0.3">
      <c r="J99" s="11" t="s">
        <v>1084</v>
      </c>
    </row>
    <row r="100" spans="10:10" x14ac:dyDescent="0.3">
      <c r="J100" s="11" t="s">
        <v>1085</v>
      </c>
    </row>
    <row r="101" spans="10:10" x14ac:dyDescent="0.3">
      <c r="J101" s="11" t="s">
        <v>1086</v>
      </c>
    </row>
    <row r="102" spans="10:10" x14ac:dyDescent="0.3">
      <c r="J102" s="11" t="s">
        <v>1087</v>
      </c>
    </row>
    <row r="103" spans="10:10" x14ac:dyDescent="0.3">
      <c r="J103" s="11" t="s">
        <v>1088</v>
      </c>
    </row>
    <row r="104" spans="10:10" x14ac:dyDescent="0.3">
      <c r="J104" s="11" t="s">
        <v>1089</v>
      </c>
    </row>
    <row r="105" spans="10:10" x14ac:dyDescent="0.3">
      <c r="J105" s="11" t="s">
        <v>1092</v>
      </c>
    </row>
    <row r="106" spans="10:10" x14ac:dyDescent="0.3">
      <c r="J106" s="11" t="s">
        <v>1168</v>
      </c>
    </row>
    <row r="107" spans="10:10" x14ac:dyDescent="0.3">
      <c r="J107" s="11" t="s">
        <v>1230</v>
      </c>
    </row>
    <row r="108" spans="10:10" x14ac:dyDescent="0.3">
      <c r="J108" s="11" t="s">
        <v>1234</v>
      </c>
    </row>
    <row r="109" spans="10:10" x14ac:dyDescent="0.3">
      <c r="J109" s="11" t="s">
        <v>1298</v>
      </c>
    </row>
    <row r="110" spans="10:10" x14ac:dyDescent="0.3">
      <c r="J110" s="11" t="s">
        <v>1359</v>
      </c>
    </row>
  </sheetData>
  <mergeCells count="1">
    <mergeCell ref="B3:D3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38EA40-A980-4C98-8099-A94AA02754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nutrition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Iksan Bahri</dc:creator>
  <cp:lastModifiedBy>Iksan Bahri</cp:lastModifiedBy>
  <dcterms:created xsi:type="dcterms:W3CDTF">2026-06-13T05:23:59Z</dcterms:created>
  <dcterms:modified xsi:type="dcterms:W3CDTF">2026-06-18T01:34:07Z</dcterms:modified>
</cp:coreProperties>
</file>